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jajmarkets-my.sharepoint.com/personal/dishank_shekokare_bajajtechai_com/Documents/"/>
    </mc:Choice>
  </mc:AlternateContent>
  <xr:revisionPtr revIDLastSave="0" documentId="8_{E5B8FB08-B7F7-4A56-83E8-5D88A8E929E8}" xr6:coauthVersionLast="47" xr6:coauthVersionMax="47" xr10:uidLastSave="{00000000-0000-0000-0000-000000000000}"/>
  <bookViews>
    <workbookView xWindow="-110" yWindow="-110" windowWidth="19420" windowHeight="10300" xr2:uid="{27FE7389-077B-4396-B746-3A28972221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27" i="1" l="1"/>
  <c r="X127" i="1"/>
  <c r="Y127" i="1" s="1"/>
  <c r="V127" i="1"/>
  <c r="S127" i="1"/>
  <c r="T127" i="1" s="1"/>
  <c r="P127" i="1"/>
  <c r="Q127" i="1" s="1"/>
  <c r="I127" i="1"/>
  <c r="G127" i="1"/>
  <c r="E127" i="1"/>
  <c r="H127" i="1" s="1"/>
  <c r="B127" i="1"/>
  <c r="AA126" i="1"/>
  <c r="Y126" i="1"/>
  <c r="X126" i="1"/>
  <c r="V126" i="1"/>
  <c r="S126" i="1"/>
  <c r="T126" i="1" s="1"/>
  <c r="Q126" i="1"/>
  <c r="P126" i="1"/>
  <c r="I126" i="1"/>
  <c r="G126" i="1"/>
  <c r="E126" i="1"/>
  <c r="H126" i="1" s="1"/>
  <c r="C126" i="1"/>
  <c r="B126" i="1"/>
  <c r="C127" i="1" s="1"/>
  <c r="AA125" i="1"/>
  <c r="X125" i="1"/>
  <c r="Y125" i="1" s="1"/>
  <c r="V125" i="1"/>
  <c r="T125" i="1"/>
  <c r="S125" i="1"/>
  <c r="P125" i="1"/>
  <c r="Q125" i="1" s="1"/>
  <c r="I125" i="1"/>
  <c r="G125" i="1"/>
  <c r="E125" i="1"/>
  <c r="H125" i="1" s="1"/>
  <c r="B125" i="1"/>
  <c r="C125" i="1" s="1"/>
  <c r="AA124" i="1"/>
  <c r="X124" i="1"/>
  <c r="Y124" i="1" s="1"/>
  <c r="V124" i="1"/>
  <c r="S124" i="1"/>
  <c r="T124" i="1" s="1"/>
  <c r="P124" i="1"/>
  <c r="Q124" i="1" s="1"/>
  <c r="I124" i="1"/>
  <c r="G124" i="1"/>
  <c r="E124" i="1"/>
  <c r="H124" i="1" s="1"/>
  <c r="B124" i="1"/>
  <c r="AA123" i="1"/>
  <c r="X123" i="1"/>
  <c r="Y123" i="1" s="1"/>
  <c r="V123" i="1"/>
  <c r="S123" i="1"/>
  <c r="T123" i="1" s="1"/>
  <c r="P123" i="1"/>
  <c r="Q123" i="1" s="1"/>
  <c r="I123" i="1"/>
  <c r="H123" i="1"/>
  <c r="G123" i="1"/>
  <c r="E123" i="1"/>
  <c r="B123" i="1"/>
  <c r="AA122" i="1"/>
  <c r="X122" i="1"/>
  <c r="Y122" i="1" s="1"/>
  <c r="V122" i="1"/>
  <c r="S122" i="1"/>
  <c r="T122" i="1" s="1"/>
  <c r="P122" i="1"/>
  <c r="Q122" i="1" s="1"/>
  <c r="I122" i="1"/>
  <c r="G122" i="1"/>
  <c r="E122" i="1"/>
  <c r="H122" i="1" s="1"/>
  <c r="B122" i="1"/>
  <c r="C124" i="1" s="1"/>
  <c r="AA121" i="1"/>
  <c r="X121" i="1"/>
  <c r="Y121" i="1" s="1"/>
  <c r="V121" i="1"/>
  <c r="S121" i="1"/>
  <c r="T121" i="1" s="1"/>
  <c r="Q121" i="1"/>
  <c r="P121" i="1"/>
  <c r="I121" i="1"/>
  <c r="G121" i="1"/>
  <c r="E121" i="1"/>
  <c r="H121" i="1" s="1"/>
  <c r="B121" i="1"/>
  <c r="AA120" i="1"/>
  <c r="X120" i="1"/>
  <c r="Y120" i="1" s="1"/>
  <c r="V120" i="1"/>
  <c r="T120" i="1"/>
  <c r="S120" i="1"/>
  <c r="Q120" i="1"/>
  <c r="P120" i="1"/>
  <c r="I120" i="1"/>
  <c r="G120" i="1"/>
  <c r="E120" i="1"/>
  <c r="H120" i="1" s="1"/>
  <c r="B120" i="1"/>
  <c r="AA119" i="1"/>
  <c r="Y119" i="1"/>
  <c r="X119" i="1"/>
  <c r="V119" i="1"/>
  <c r="T119" i="1"/>
  <c r="S119" i="1"/>
  <c r="Q119" i="1"/>
  <c r="P119" i="1"/>
  <c r="I119" i="1"/>
  <c r="G119" i="1"/>
  <c r="E119" i="1"/>
  <c r="H119" i="1" s="1"/>
  <c r="C119" i="1"/>
  <c r="B119" i="1"/>
  <c r="AA118" i="1"/>
  <c r="X118" i="1"/>
  <c r="Y118" i="1" s="1"/>
  <c r="V118" i="1"/>
  <c r="T118" i="1"/>
  <c r="S118" i="1"/>
  <c r="P118" i="1"/>
  <c r="Q118" i="1" s="1"/>
  <c r="I118" i="1"/>
  <c r="G118" i="1"/>
  <c r="E118" i="1"/>
  <c r="H118" i="1" s="1"/>
  <c r="B118" i="1"/>
  <c r="AA117" i="1"/>
  <c r="X117" i="1"/>
  <c r="Y117" i="1" s="1"/>
  <c r="V117" i="1"/>
  <c r="S117" i="1"/>
  <c r="T117" i="1" s="1"/>
  <c r="P117" i="1"/>
  <c r="Q117" i="1" s="1"/>
  <c r="I117" i="1"/>
  <c r="H117" i="1"/>
  <c r="G117" i="1"/>
  <c r="E117" i="1"/>
  <c r="B117" i="1"/>
  <c r="AA116" i="1"/>
  <c r="X116" i="1"/>
  <c r="Y116" i="1" s="1"/>
  <c r="V116" i="1"/>
  <c r="S116" i="1"/>
  <c r="T116" i="1" s="1"/>
  <c r="P116" i="1"/>
  <c r="Q116" i="1" s="1"/>
  <c r="I116" i="1"/>
  <c r="H116" i="1"/>
  <c r="G116" i="1"/>
  <c r="E116" i="1"/>
  <c r="B116" i="1"/>
  <c r="AA115" i="1"/>
  <c r="X115" i="1"/>
  <c r="Y115" i="1" s="1"/>
  <c r="V115" i="1"/>
  <c r="T115" i="1"/>
  <c r="S115" i="1"/>
  <c r="Q115" i="1"/>
  <c r="P115" i="1"/>
  <c r="I115" i="1"/>
  <c r="G115" i="1"/>
  <c r="E115" i="1"/>
  <c r="H115" i="1" s="1"/>
  <c r="B115" i="1"/>
  <c r="AA114" i="1"/>
  <c r="X114" i="1"/>
  <c r="Y114" i="1" s="1"/>
  <c r="V114" i="1"/>
  <c r="T114" i="1"/>
  <c r="S114" i="1"/>
  <c r="Q114" i="1"/>
  <c r="P114" i="1"/>
  <c r="I114" i="1"/>
  <c r="G114" i="1"/>
  <c r="E114" i="1"/>
  <c r="H114" i="1" s="1"/>
  <c r="B114" i="1"/>
  <c r="AA113" i="1"/>
  <c r="Y113" i="1"/>
  <c r="X113" i="1"/>
  <c r="V113" i="1"/>
  <c r="T113" i="1"/>
  <c r="S113" i="1"/>
  <c r="Q113" i="1"/>
  <c r="P113" i="1"/>
  <c r="I113" i="1"/>
  <c r="G113" i="1"/>
  <c r="E113" i="1"/>
  <c r="H113" i="1" s="1"/>
  <c r="B113" i="1"/>
  <c r="AA112" i="1"/>
  <c r="X112" i="1"/>
  <c r="Y112" i="1" s="1"/>
  <c r="V112" i="1"/>
  <c r="T112" i="1"/>
  <c r="S112" i="1"/>
  <c r="P112" i="1"/>
  <c r="Q112" i="1" s="1"/>
  <c r="I112" i="1"/>
  <c r="G112" i="1"/>
  <c r="E112" i="1"/>
  <c r="H112" i="1" s="1"/>
  <c r="B112" i="1"/>
  <c r="AA111" i="1"/>
  <c r="X111" i="1"/>
  <c r="Y111" i="1" s="1"/>
  <c r="V111" i="1"/>
  <c r="S111" i="1"/>
  <c r="T111" i="1" s="1"/>
  <c r="Q111" i="1"/>
  <c r="P111" i="1"/>
  <c r="I111" i="1"/>
  <c r="H111" i="1"/>
  <c r="G111" i="1"/>
  <c r="E111" i="1"/>
  <c r="B111" i="1"/>
  <c r="AA110" i="1"/>
  <c r="X110" i="1"/>
  <c r="Y110" i="1" s="1"/>
  <c r="V110" i="1"/>
  <c r="S110" i="1"/>
  <c r="T110" i="1" s="1"/>
  <c r="Q110" i="1"/>
  <c r="P110" i="1"/>
  <c r="I110" i="1"/>
  <c r="H110" i="1"/>
  <c r="G110" i="1"/>
  <c r="E110" i="1"/>
  <c r="B110" i="1"/>
  <c r="C112" i="1" s="1"/>
  <c r="AA109" i="1"/>
  <c r="X109" i="1"/>
  <c r="Y109" i="1" s="1"/>
  <c r="V109" i="1"/>
  <c r="S109" i="1"/>
  <c r="T109" i="1" s="1"/>
  <c r="Q109" i="1"/>
  <c r="P109" i="1"/>
  <c r="I109" i="1"/>
  <c r="G109" i="1"/>
  <c r="E109" i="1"/>
  <c r="H109" i="1" s="1"/>
  <c r="B109" i="1"/>
  <c r="AA108" i="1"/>
  <c r="X108" i="1"/>
  <c r="Y108" i="1" s="1"/>
  <c r="V108" i="1"/>
  <c r="T108" i="1"/>
  <c r="S108" i="1"/>
  <c r="Q108" i="1"/>
  <c r="P108" i="1"/>
  <c r="I108" i="1"/>
  <c r="G108" i="1"/>
  <c r="E108" i="1"/>
  <c r="H108" i="1" s="1"/>
  <c r="B108" i="1"/>
  <c r="C108" i="1" s="1"/>
  <c r="AA107" i="1"/>
  <c r="Y107" i="1"/>
  <c r="X107" i="1"/>
  <c r="V107" i="1"/>
  <c r="T107" i="1"/>
  <c r="S107" i="1"/>
  <c r="Q107" i="1"/>
  <c r="P107" i="1"/>
  <c r="I107" i="1"/>
  <c r="G107" i="1"/>
  <c r="E107" i="1"/>
  <c r="H107" i="1" s="1"/>
  <c r="C107" i="1"/>
  <c r="B107" i="1"/>
  <c r="AA106" i="1"/>
  <c r="X106" i="1"/>
  <c r="Y106" i="1" s="1"/>
  <c r="V106" i="1"/>
  <c r="T106" i="1"/>
  <c r="S106" i="1"/>
  <c r="P106" i="1"/>
  <c r="Q106" i="1" s="1"/>
  <c r="I106" i="1"/>
  <c r="G106" i="1"/>
  <c r="E106" i="1"/>
  <c r="H106" i="1" s="1"/>
  <c r="B106" i="1"/>
  <c r="AA105" i="1"/>
  <c r="X105" i="1"/>
  <c r="Y105" i="1" s="1"/>
  <c r="V105" i="1"/>
  <c r="S105" i="1"/>
  <c r="T105" i="1" s="1"/>
  <c r="Q105" i="1"/>
  <c r="P105" i="1"/>
  <c r="I105" i="1"/>
  <c r="H105" i="1"/>
  <c r="G105" i="1"/>
  <c r="E105" i="1"/>
  <c r="B105" i="1"/>
  <c r="AA104" i="1"/>
  <c r="X104" i="1"/>
  <c r="Y104" i="1" s="1"/>
  <c r="V104" i="1"/>
  <c r="S104" i="1"/>
  <c r="T104" i="1" s="1"/>
  <c r="Q104" i="1"/>
  <c r="P104" i="1"/>
  <c r="I104" i="1"/>
  <c r="H104" i="1"/>
  <c r="G104" i="1"/>
  <c r="E104" i="1"/>
  <c r="B104" i="1"/>
  <c r="AA103" i="1"/>
  <c r="X103" i="1"/>
  <c r="Y103" i="1" s="1"/>
  <c r="V103" i="1"/>
  <c r="S103" i="1"/>
  <c r="T103" i="1" s="1"/>
  <c r="Q103" i="1"/>
  <c r="P103" i="1"/>
  <c r="I103" i="1"/>
  <c r="G103" i="1"/>
  <c r="E103" i="1"/>
  <c r="H103" i="1" s="1"/>
  <c r="B103" i="1"/>
  <c r="AA102" i="1"/>
  <c r="Y102" i="1"/>
  <c r="X102" i="1"/>
  <c r="V102" i="1"/>
  <c r="T102" i="1"/>
  <c r="S102" i="1"/>
  <c r="Q102" i="1"/>
  <c r="P102" i="1"/>
  <c r="I102" i="1"/>
  <c r="G102" i="1"/>
  <c r="E102" i="1"/>
  <c r="H102" i="1" s="1"/>
  <c r="B102" i="1"/>
  <c r="C102" i="1" s="1"/>
  <c r="AA101" i="1"/>
  <c r="Y101" i="1"/>
  <c r="X101" i="1"/>
  <c r="V101" i="1"/>
  <c r="T101" i="1"/>
  <c r="S101" i="1"/>
  <c r="Q101" i="1"/>
  <c r="P101" i="1"/>
  <c r="I101" i="1"/>
  <c r="G101" i="1"/>
  <c r="E101" i="1"/>
  <c r="H101" i="1" s="1"/>
  <c r="B101" i="1"/>
  <c r="C101" i="1" s="1"/>
  <c r="AA100" i="1"/>
  <c r="X100" i="1"/>
  <c r="Y100" i="1" s="1"/>
  <c r="V100" i="1"/>
  <c r="T100" i="1"/>
  <c r="S100" i="1"/>
  <c r="P100" i="1"/>
  <c r="Q100" i="1" s="1"/>
  <c r="I100" i="1"/>
  <c r="G100" i="1"/>
  <c r="E100" i="1"/>
  <c r="H100" i="1" s="1"/>
  <c r="B100" i="1"/>
  <c r="AA99" i="1"/>
  <c r="X99" i="1"/>
  <c r="Y99" i="1" s="1"/>
  <c r="V99" i="1"/>
  <c r="S99" i="1"/>
  <c r="T99" i="1" s="1"/>
  <c r="P99" i="1"/>
  <c r="Q99" i="1" s="1"/>
  <c r="I99" i="1"/>
  <c r="H99" i="1"/>
  <c r="G99" i="1"/>
  <c r="E99" i="1"/>
  <c r="B99" i="1"/>
  <c r="AA98" i="1"/>
  <c r="X98" i="1"/>
  <c r="Y98" i="1" s="1"/>
  <c r="V98" i="1"/>
  <c r="S98" i="1"/>
  <c r="T98" i="1" s="1"/>
  <c r="P98" i="1"/>
  <c r="Q98" i="1" s="1"/>
  <c r="I98" i="1"/>
  <c r="H98" i="1"/>
  <c r="G98" i="1"/>
  <c r="E98" i="1"/>
  <c r="B98" i="1"/>
  <c r="AA97" i="1"/>
  <c r="X97" i="1"/>
  <c r="Y97" i="1" s="1"/>
  <c r="V97" i="1"/>
  <c r="S97" i="1"/>
  <c r="T97" i="1" s="1"/>
  <c r="Q97" i="1"/>
  <c r="P97" i="1"/>
  <c r="I97" i="1"/>
  <c r="G97" i="1"/>
  <c r="E97" i="1"/>
  <c r="H97" i="1" s="1"/>
  <c r="B97" i="1"/>
  <c r="AA96" i="1"/>
  <c r="X96" i="1"/>
  <c r="Y96" i="1" s="1"/>
  <c r="V96" i="1"/>
  <c r="T96" i="1"/>
  <c r="S96" i="1"/>
  <c r="Q96" i="1"/>
  <c r="P96" i="1"/>
  <c r="I96" i="1"/>
  <c r="G96" i="1"/>
  <c r="E96" i="1"/>
  <c r="H96" i="1" s="1"/>
  <c r="B96" i="1"/>
  <c r="AA95" i="1"/>
  <c r="Y95" i="1"/>
  <c r="X95" i="1"/>
  <c r="V95" i="1"/>
  <c r="T95" i="1"/>
  <c r="S95" i="1"/>
  <c r="Q95" i="1"/>
  <c r="P95" i="1"/>
  <c r="I95" i="1"/>
  <c r="G95" i="1"/>
  <c r="E95" i="1"/>
  <c r="H95" i="1" s="1"/>
  <c r="B95" i="1"/>
  <c r="C96" i="1" s="1"/>
  <c r="AA94" i="1"/>
  <c r="X94" i="1"/>
  <c r="Y94" i="1" s="1"/>
  <c r="V94" i="1"/>
  <c r="T94" i="1"/>
  <c r="S94" i="1"/>
  <c r="P94" i="1"/>
  <c r="Q94" i="1" s="1"/>
  <c r="I94" i="1"/>
  <c r="G94" i="1"/>
  <c r="E94" i="1"/>
  <c r="H94" i="1" s="1"/>
  <c r="B94" i="1"/>
  <c r="AA93" i="1"/>
  <c r="X93" i="1"/>
  <c r="Y93" i="1" s="1"/>
  <c r="V93" i="1"/>
  <c r="S93" i="1"/>
  <c r="T93" i="1" s="1"/>
  <c r="P93" i="1"/>
  <c r="Q93" i="1" s="1"/>
  <c r="I93" i="1"/>
  <c r="H93" i="1"/>
  <c r="G93" i="1"/>
  <c r="E93" i="1"/>
  <c r="B93" i="1"/>
  <c r="AA92" i="1"/>
  <c r="X92" i="1"/>
  <c r="Y92" i="1" s="1"/>
  <c r="V92" i="1"/>
  <c r="S92" i="1"/>
  <c r="T92" i="1" s="1"/>
  <c r="P92" i="1"/>
  <c r="Q92" i="1" s="1"/>
  <c r="I92" i="1"/>
  <c r="H92" i="1"/>
  <c r="G92" i="1"/>
  <c r="E92" i="1"/>
  <c r="B92" i="1"/>
  <c r="AA91" i="1"/>
  <c r="X91" i="1"/>
  <c r="Y91" i="1" s="1"/>
  <c r="V91" i="1"/>
  <c r="S91" i="1"/>
  <c r="T91" i="1" s="1"/>
  <c r="Q91" i="1"/>
  <c r="P91" i="1"/>
  <c r="I91" i="1"/>
  <c r="G91" i="1"/>
  <c r="E91" i="1"/>
  <c r="H91" i="1" s="1"/>
  <c r="B91" i="1"/>
  <c r="AA90" i="1"/>
  <c r="X90" i="1"/>
  <c r="Y90" i="1" s="1"/>
  <c r="V90" i="1"/>
  <c r="T90" i="1"/>
  <c r="S90" i="1"/>
  <c r="Q90" i="1"/>
  <c r="P90" i="1"/>
  <c r="I90" i="1"/>
  <c r="G90" i="1"/>
  <c r="E90" i="1"/>
  <c r="H90" i="1" s="1"/>
  <c r="B90" i="1"/>
  <c r="AA89" i="1"/>
  <c r="Y89" i="1"/>
  <c r="X89" i="1"/>
  <c r="V89" i="1"/>
  <c r="T89" i="1"/>
  <c r="S89" i="1"/>
  <c r="Q89" i="1"/>
  <c r="P89" i="1"/>
  <c r="I89" i="1"/>
  <c r="G89" i="1"/>
  <c r="E89" i="1"/>
  <c r="H89" i="1" s="1"/>
  <c r="B89" i="1"/>
  <c r="AA88" i="1"/>
  <c r="X88" i="1"/>
  <c r="Y88" i="1" s="1"/>
  <c r="V88" i="1"/>
  <c r="T88" i="1"/>
  <c r="S88" i="1"/>
  <c r="P88" i="1"/>
  <c r="Q88" i="1" s="1"/>
  <c r="I88" i="1"/>
  <c r="G88" i="1"/>
  <c r="E88" i="1"/>
  <c r="H88" i="1" s="1"/>
  <c r="B88" i="1"/>
  <c r="AA87" i="1"/>
  <c r="X87" i="1"/>
  <c r="Y87" i="1" s="1"/>
  <c r="V87" i="1"/>
  <c r="S87" i="1"/>
  <c r="T87" i="1" s="1"/>
  <c r="P87" i="1"/>
  <c r="Q87" i="1" s="1"/>
  <c r="I87" i="1"/>
  <c r="H87" i="1"/>
  <c r="G87" i="1"/>
  <c r="E87" i="1"/>
  <c r="B87" i="1"/>
  <c r="AA86" i="1"/>
  <c r="X86" i="1"/>
  <c r="Y86" i="1" s="1"/>
  <c r="V86" i="1"/>
  <c r="T86" i="1"/>
  <c r="S86" i="1"/>
  <c r="P86" i="1"/>
  <c r="Q86" i="1" s="1"/>
  <c r="I86" i="1"/>
  <c r="H86" i="1"/>
  <c r="G86" i="1"/>
  <c r="E86" i="1"/>
  <c r="B86" i="1"/>
  <c r="AA85" i="1"/>
  <c r="X85" i="1"/>
  <c r="Y85" i="1" s="1"/>
  <c r="V85" i="1"/>
  <c r="T85" i="1"/>
  <c r="S85" i="1"/>
  <c r="Q85" i="1"/>
  <c r="P85" i="1"/>
  <c r="I85" i="1"/>
  <c r="G85" i="1"/>
  <c r="E85" i="1"/>
  <c r="H85" i="1" s="1"/>
  <c r="B85" i="1"/>
  <c r="AA84" i="1"/>
  <c r="X84" i="1"/>
  <c r="Y84" i="1" s="1"/>
  <c r="V84" i="1"/>
  <c r="T84" i="1"/>
  <c r="S84" i="1"/>
  <c r="Q84" i="1"/>
  <c r="P84" i="1"/>
  <c r="I84" i="1"/>
  <c r="G84" i="1"/>
  <c r="E84" i="1"/>
  <c r="H84" i="1" s="1"/>
  <c r="B84" i="1"/>
  <c r="AA83" i="1"/>
  <c r="Y83" i="1"/>
  <c r="X83" i="1"/>
  <c r="V83" i="1"/>
  <c r="T83" i="1"/>
  <c r="S83" i="1"/>
  <c r="Q83" i="1"/>
  <c r="P83" i="1"/>
  <c r="I83" i="1"/>
  <c r="G83" i="1"/>
  <c r="E83" i="1"/>
  <c r="H83" i="1" s="1"/>
  <c r="B83" i="1"/>
  <c r="AA82" i="1"/>
  <c r="X82" i="1"/>
  <c r="Y82" i="1" s="1"/>
  <c r="V82" i="1"/>
  <c r="T82" i="1"/>
  <c r="S82" i="1"/>
  <c r="P82" i="1"/>
  <c r="Q82" i="1" s="1"/>
  <c r="I82" i="1"/>
  <c r="H82" i="1"/>
  <c r="G82" i="1"/>
  <c r="E82" i="1"/>
  <c r="B82" i="1"/>
  <c r="AA81" i="1"/>
  <c r="X81" i="1"/>
  <c r="Y81" i="1" s="1"/>
  <c r="V81" i="1"/>
  <c r="S81" i="1"/>
  <c r="T81" i="1" s="1"/>
  <c r="P81" i="1"/>
  <c r="Q81" i="1" s="1"/>
  <c r="I81" i="1"/>
  <c r="H81" i="1"/>
  <c r="G81" i="1"/>
  <c r="E81" i="1"/>
  <c r="B81" i="1"/>
  <c r="AA80" i="1"/>
  <c r="X80" i="1"/>
  <c r="Y80" i="1" s="1"/>
  <c r="V80" i="1"/>
  <c r="S80" i="1"/>
  <c r="T80" i="1" s="1"/>
  <c r="P80" i="1"/>
  <c r="Q80" i="1" s="1"/>
  <c r="I80" i="1"/>
  <c r="H80" i="1"/>
  <c r="G80" i="1"/>
  <c r="E80" i="1"/>
  <c r="B80" i="1"/>
  <c r="AA79" i="1"/>
  <c r="X79" i="1"/>
  <c r="Y79" i="1" s="1"/>
  <c r="V79" i="1"/>
  <c r="S79" i="1"/>
  <c r="T79" i="1" s="1"/>
  <c r="Q79" i="1"/>
  <c r="P79" i="1"/>
  <c r="I79" i="1"/>
  <c r="G79" i="1"/>
  <c r="E79" i="1"/>
  <c r="H79" i="1" s="1"/>
  <c r="B79" i="1"/>
  <c r="AA78" i="1"/>
  <c r="X78" i="1"/>
  <c r="Y78" i="1" s="1"/>
  <c r="V78" i="1"/>
  <c r="T78" i="1"/>
  <c r="S78" i="1"/>
  <c r="Q78" i="1"/>
  <c r="P78" i="1"/>
  <c r="I78" i="1"/>
  <c r="G78" i="1"/>
  <c r="E78" i="1"/>
  <c r="H78" i="1" s="1"/>
  <c r="C78" i="1"/>
  <c r="B78" i="1"/>
  <c r="AA77" i="1"/>
  <c r="Y77" i="1"/>
  <c r="X77" i="1"/>
  <c r="V77" i="1"/>
  <c r="T77" i="1"/>
  <c r="S77" i="1"/>
  <c r="Q77" i="1"/>
  <c r="P77" i="1"/>
  <c r="I77" i="1"/>
  <c r="G77" i="1"/>
  <c r="E77" i="1"/>
  <c r="H77" i="1" s="1"/>
  <c r="B77" i="1"/>
  <c r="AA76" i="1"/>
  <c r="X76" i="1"/>
  <c r="Y76" i="1" s="1"/>
  <c r="V76" i="1"/>
  <c r="T76" i="1"/>
  <c r="S76" i="1"/>
  <c r="P76" i="1"/>
  <c r="Q76" i="1" s="1"/>
  <c r="I76" i="1"/>
  <c r="H76" i="1"/>
  <c r="G76" i="1"/>
  <c r="E76" i="1"/>
  <c r="B76" i="1"/>
  <c r="AA75" i="1"/>
  <c r="X75" i="1"/>
  <c r="Y75" i="1" s="1"/>
  <c r="V75" i="1"/>
  <c r="S75" i="1"/>
  <c r="T75" i="1" s="1"/>
  <c r="Q75" i="1"/>
  <c r="P75" i="1"/>
  <c r="I75" i="1"/>
  <c r="H75" i="1"/>
  <c r="G75" i="1"/>
  <c r="E75" i="1"/>
  <c r="B75" i="1"/>
  <c r="AA74" i="1"/>
  <c r="X74" i="1"/>
  <c r="Y74" i="1" s="1"/>
  <c r="V74" i="1"/>
  <c r="S74" i="1"/>
  <c r="T74" i="1" s="1"/>
  <c r="Q74" i="1"/>
  <c r="P74" i="1"/>
  <c r="I74" i="1"/>
  <c r="H74" i="1"/>
  <c r="G74" i="1"/>
  <c r="E74" i="1"/>
  <c r="B74" i="1"/>
  <c r="AA73" i="1"/>
  <c r="X73" i="1"/>
  <c r="Y73" i="1" s="1"/>
  <c r="V73" i="1"/>
  <c r="S73" i="1"/>
  <c r="T73" i="1" s="1"/>
  <c r="Q73" i="1"/>
  <c r="P73" i="1"/>
  <c r="I73" i="1"/>
  <c r="G73" i="1"/>
  <c r="E73" i="1"/>
  <c r="H73" i="1" s="1"/>
  <c r="B73" i="1"/>
  <c r="AA72" i="1"/>
  <c r="X72" i="1"/>
  <c r="Y72" i="1" s="1"/>
  <c r="V72" i="1"/>
  <c r="T72" i="1"/>
  <c r="S72" i="1"/>
  <c r="Q72" i="1"/>
  <c r="P72" i="1"/>
  <c r="I72" i="1"/>
  <c r="G72" i="1"/>
  <c r="E72" i="1"/>
  <c r="H72" i="1" s="1"/>
  <c r="C72" i="1"/>
  <c r="B72" i="1"/>
  <c r="AA71" i="1"/>
  <c r="Y71" i="1"/>
  <c r="X71" i="1"/>
  <c r="V71" i="1"/>
  <c r="T71" i="1"/>
  <c r="S71" i="1"/>
  <c r="Q71" i="1"/>
  <c r="P71" i="1"/>
  <c r="I71" i="1"/>
  <c r="G71" i="1"/>
  <c r="E71" i="1"/>
  <c r="H71" i="1" s="1"/>
  <c r="C71" i="1"/>
  <c r="B71" i="1"/>
  <c r="AA70" i="1"/>
  <c r="X70" i="1"/>
  <c r="Y70" i="1" s="1"/>
  <c r="V70" i="1"/>
  <c r="T70" i="1"/>
  <c r="S70" i="1"/>
  <c r="P70" i="1"/>
  <c r="Q70" i="1" s="1"/>
  <c r="I70" i="1"/>
  <c r="G70" i="1"/>
  <c r="E70" i="1"/>
  <c r="H70" i="1" s="1"/>
  <c r="B70" i="1"/>
  <c r="AA69" i="1"/>
  <c r="X69" i="1"/>
  <c r="Y69" i="1" s="1"/>
  <c r="V69" i="1"/>
  <c r="S69" i="1"/>
  <c r="T69" i="1" s="1"/>
  <c r="P69" i="1"/>
  <c r="Q69" i="1" s="1"/>
  <c r="I69" i="1"/>
  <c r="H69" i="1"/>
  <c r="G69" i="1"/>
  <c r="E69" i="1"/>
  <c r="B69" i="1"/>
  <c r="AA68" i="1"/>
  <c r="X68" i="1"/>
  <c r="Y68" i="1" s="1"/>
  <c r="V68" i="1"/>
  <c r="S68" i="1"/>
  <c r="T68" i="1" s="1"/>
  <c r="P68" i="1"/>
  <c r="Q68" i="1" s="1"/>
  <c r="I68" i="1"/>
  <c r="H68" i="1"/>
  <c r="G68" i="1"/>
  <c r="E68" i="1"/>
  <c r="B68" i="1"/>
  <c r="AA67" i="1"/>
  <c r="X67" i="1"/>
  <c r="Y67" i="1" s="1"/>
  <c r="V67" i="1"/>
  <c r="S67" i="1"/>
  <c r="T67" i="1" s="1"/>
  <c r="Q67" i="1"/>
  <c r="P67" i="1"/>
  <c r="I67" i="1"/>
  <c r="G67" i="1"/>
  <c r="E67" i="1"/>
  <c r="H67" i="1" s="1"/>
  <c r="B67" i="1"/>
  <c r="AA66" i="1"/>
  <c r="Y66" i="1"/>
  <c r="X66" i="1"/>
  <c r="V66" i="1"/>
  <c r="T66" i="1"/>
  <c r="S66" i="1"/>
  <c r="Q66" i="1"/>
  <c r="P66" i="1"/>
  <c r="I66" i="1"/>
  <c r="G66" i="1"/>
  <c r="E66" i="1"/>
  <c r="H66" i="1" s="1"/>
  <c r="B66" i="1"/>
  <c r="AA65" i="1"/>
  <c r="Y65" i="1"/>
  <c r="X65" i="1"/>
  <c r="V65" i="1"/>
  <c r="T65" i="1"/>
  <c r="S65" i="1"/>
  <c r="Q65" i="1"/>
  <c r="P65" i="1"/>
  <c r="I65" i="1"/>
  <c r="G65" i="1"/>
  <c r="E65" i="1"/>
  <c r="H65" i="1" s="1"/>
  <c r="C65" i="1"/>
  <c r="B65" i="1"/>
  <c r="AA64" i="1"/>
  <c r="X64" i="1"/>
  <c r="Y64" i="1" s="1"/>
  <c r="V64" i="1"/>
  <c r="T64" i="1"/>
  <c r="S64" i="1"/>
  <c r="P64" i="1"/>
  <c r="Q64" i="1" s="1"/>
  <c r="I64" i="1"/>
  <c r="G64" i="1"/>
  <c r="E64" i="1"/>
  <c r="H64" i="1" s="1"/>
  <c r="B64" i="1"/>
  <c r="AA63" i="1"/>
  <c r="X63" i="1"/>
  <c r="Y63" i="1" s="1"/>
  <c r="V63" i="1"/>
  <c r="S63" i="1"/>
  <c r="T63" i="1" s="1"/>
  <c r="P63" i="1"/>
  <c r="Q63" i="1" s="1"/>
  <c r="I63" i="1"/>
  <c r="H63" i="1"/>
  <c r="G63" i="1"/>
  <c r="E63" i="1"/>
  <c r="B63" i="1"/>
  <c r="AA62" i="1"/>
  <c r="X62" i="1"/>
  <c r="Y62" i="1" s="1"/>
  <c r="V62" i="1"/>
  <c r="S62" i="1"/>
  <c r="T62" i="1" s="1"/>
  <c r="P62" i="1"/>
  <c r="Q62" i="1" s="1"/>
  <c r="I62" i="1"/>
  <c r="H62" i="1"/>
  <c r="G62" i="1"/>
  <c r="E62" i="1"/>
  <c r="B62" i="1"/>
  <c r="AA61" i="1"/>
  <c r="X61" i="1"/>
  <c r="Y61" i="1" s="1"/>
  <c r="V61" i="1"/>
  <c r="S61" i="1"/>
  <c r="T61" i="1" s="1"/>
  <c r="Q61" i="1"/>
  <c r="P61" i="1"/>
  <c r="I61" i="1"/>
  <c r="G61" i="1"/>
  <c r="E61" i="1"/>
  <c r="H61" i="1" s="1"/>
  <c r="B61" i="1"/>
  <c r="AA60" i="1"/>
  <c r="Y60" i="1"/>
  <c r="X60" i="1"/>
  <c r="V60" i="1"/>
  <c r="T60" i="1"/>
  <c r="S60" i="1"/>
  <c r="Q60" i="1"/>
  <c r="P60" i="1"/>
  <c r="I60" i="1"/>
  <c r="G60" i="1"/>
  <c r="E60" i="1"/>
  <c r="H60" i="1" s="1"/>
  <c r="B60" i="1"/>
  <c r="AA59" i="1"/>
  <c r="Y59" i="1"/>
  <c r="X59" i="1"/>
  <c r="V59" i="1"/>
  <c r="T59" i="1"/>
  <c r="S59" i="1"/>
  <c r="Q59" i="1"/>
  <c r="P59" i="1"/>
  <c r="I59" i="1"/>
  <c r="G59" i="1"/>
  <c r="E59" i="1"/>
  <c r="H59" i="1" s="1"/>
  <c r="B59" i="1"/>
  <c r="C60" i="1" s="1"/>
  <c r="AA58" i="1"/>
  <c r="X58" i="1"/>
  <c r="Y58" i="1" s="1"/>
  <c r="V58" i="1"/>
  <c r="T58" i="1"/>
  <c r="S58" i="1"/>
  <c r="P58" i="1"/>
  <c r="Q58" i="1" s="1"/>
  <c r="I58" i="1"/>
  <c r="G58" i="1"/>
  <c r="E58" i="1"/>
  <c r="H58" i="1" s="1"/>
  <c r="B58" i="1"/>
  <c r="AA57" i="1"/>
  <c r="X57" i="1"/>
  <c r="Y57" i="1" s="1"/>
  <c r="V57" i="1"/>
  <c r="S57" i="1"/>
  <c r="T57" i="1" s="1"/>
  <c r="P57" i="1"/>
  <c r="Q57" i="1" s="1"/>
  <c r="I57" i="1"/>
  <c r="H57" i="1"/>
  <c r="G57" i="1"/>
  <c r="E57" i="1"/>
  <c r="B57" i="1"/>
  <c r="AA56" i="1"/>
  <c r="X56" i="1"/>
  <c r="Y56" i="1" s="1"/>
  <c r="V56" i="1"/>
  <c r="S56" i="1"/>
  <c r="T56" i="1" s="1"/>
  <c r="P56" i="1"/>
  <c r="Q56" i="1" s="1"/>
  <c r="I56" i="1"/>
  <c r="H56" i="1"/>
  <c r="G56" i="1"/>
  <c r="E56" i="1"/>
  <c r="B56" i="1"/>
  <c r="AA55" i="1"/>
  <c r="X55" i="1"/>
  <c r="Y55" i="1" s="1"/>
  <c r="V55" i="1"/>
  <c r="S55" i="1"/>
  <c r="T55" i="1" s="1"/>
  <c r="Q55" i="1"/>
  <c r="P55" i="1"/>
  <c r="I55" i="1"/>
  <c r="G55" i="1"/>
  <c r="E55" i="1"/>
  <c r="H55" i="1" s="1"/>
  <c r="B55" i="1"/>
  <c r="AA54" i="1"/>
  <c r="X54" i="1"/>
  <c r="Y54" i="1" s="1"/>
  <c r="V54" i="1"/>
  <c r="T54" i="1"/>
  <c r="S54" i="1"/>
  <c r="Q54" i="1"/>
  <c r="P54" i="1"/>
  <c r="I54" i="1"/>
  <c r="G54" i="1"/>
  <c r="E54" i="1"/>
  <c r="H54" i="1" s="1"/>
  <c r="B54" i="1"/>
  <c r="C54" i="1" s="1"/>
  <c r="AA53" i="1"/>
  <c r="Y53" i="1"/>
  <c r="X53" i="1"/>
  <c r="V53" i="1"/>
  <c r="T53" i="1"/>
  <c r="S53" i="1"/>
  <c r="Q53" i="1"/>
  <c r="P53" i="1"/>
  <c r="I53" i="1"/>
  <c r="G53" i="1"/>
  <c r="E53" i="1"/>
  <c r="H53" i="1" s="1"/>
  <c r="B53" i="1"/>
  <c r="C53" i="1" s="1"/>
  <c r="AA52" i="1"/>
  <c r="X52" i="1"/>
  <c r="Y52" i="1" s="1"/>
  <c r="V52" i="1"/>
  <c r="T52" i="1"/>
  <c r="S52" i="1"/>
  <c r="P52" i="1"/>
  <c r="Q52" i="1" s="1"/>
  <c r="I52" i="1"/>
  <c r="G52" i="1"/>
  <c r="E52" i="1"/>
  <c r="H52" i="1" s="1"/>
  <c r="B52" i="1"/>
  <c r="AA51" i="1"/>
  <c r="X51" i="1"/>
  <c r="Y51" i="1" s="1"/>
  <c r="V51" i="1"/>
  <c r="S51" i="1"/>
  <c r="T51" i="1" s="1"/>
  <c r="P51" i="1"/>
  <c r="Q51" i="1" s="1"/>
  <c r="I51" i="1"/>
  <c r="H51" i="1"/>
  <c r="G51" i="1"/>
  <c r="E51" i="1"/>
  <c r="B51" i="1"/>
  <c r="AA50" i="1"/>
  <c r="X50" i="1"/>
  <c r="Y50" i="1" s="1"/>
  <c r="V50" i="1"/>
  <c r="T50" i="1"/>
  <c r="S50" i="1"/>
  <c r="P50" i="1"/>
  <c r="Q50" i="1" s="1"/>
  <c r="I50" i="1"/>
  <c r="H50" i="1"/>
  <c r="G50" i="1"/>
  <c r="E50" i="1"/>
  <c r="B50" i="1"/>
  <c r="AA49" i="1"/>
  <c r="X49" i="1"/>
  <c r="Y49" i="1" s="1"/>
  <c r="V49" i="1"/>
  <c r="T49" i="1"/>
  <c r="S49" i="1"/>
  <c r="Q49" i="1"/>
  <c r="P49" i="1"/>
  <c r="I49" i="1"/>
  <c r="G49" i="1"/>
  <c r="E49" i="1"/>
  <c r="H49" i="1" s="1"/>
  <c r="B49" i="1"/>
  <c r="AA48" i="1"/>
  <c r="X48" i="1"/>
  <c r="Y48" i="1" s="1"/>
  <c r="V48" i="1"/>
  <c r="T48" i="1"/>
  <c r="S48" i="1"/>
  <c r="Q48" i="1"/>
  <c r="P48" i="1"/>
  <c r="I48" i="1"/>
  <c r="G48" i="1"/>
  <c r="E48" i="1"/>
  <c r="H48" i="1" s="1"/>
  <c r="B48" i="1"/>
  <c r="AA47" i="1"/>
  <c r="Y47" i="1"/>
  <c r="X47" i="1"/>
  <c r="V47" i="1"/>
  <c r="T47" i="1"/>
  <c r="S47" i="1"/>
  <c r="Q47" i="1"/>
  <c r="P47" i="1"/>
  <c r="I47" i="1"/>
  <c r="G47" i="1"/>
  <c r="E47" i="1"/>
  <c r="H47" i="1" s="1"/>
  <c r="B47" i="1"/>
  <c r="C48" i="1" s="1"/>
  <c r="AA46" i="1"/>
  <c r="X46" i="1"/>
  <c r="Y46" i="1" s="1"/>
  <c r="V46" i="1"/>
  <c r="T46" i="1"/>
  <c r="S46" i="1"/>
  <c r="P46" i="1"/>
  <c r="Q46" i="1" s="1"/>
  <c r="I46" i="1"/>
  <c r="H46" i="1"/>
  <c r="G46" i="1"/>
  <c r="E46" i="1"/>
  <c r="B46" i="1"/>
  <c r="AA45" i="1"/>
  <c r="X45" i="1"/>
  <c r="Y45" i="1" s="1"/>
  <c r="V45" i="1"/>
  <c r="S45" i="1"/>
  <c r="T45" i="1" s="1"/>
  <c r="P45" i="1"/>
  <c r="Q45" i="1" s="1"/>
  <c r="I45" i="1"/>
  <c r="H45" i="1"/>
  <c r="G45" i="1"/>
  <c r="E45" i="1"/>
  <c r="B45" i="1"/>
  <c r="AA44" i="1"/>
  <c r="X44" i="1"/>
  <c r="Y44" i="1" s="1"/>
  <c r="V44" i="1"/>
  <c r="T44" i="1"/>
  <c r="S44" i="1"/>
  <c r="P44" i="1"/>
  <c r="Q44" i="1" s="1"/>
  <c r="I44" i="1"/>
  <c r="H44" i="1"/>
  <c r="G44" i="1"/>
  <c r="E44" i="1"/>
  <c r="B44" i="1"/>
  <c r="AA43" i="1"/>
  <c r="X43" i="1"/>
  <c r="Y43" i="1" s="1"/>
  <c r="V43" i="1"/>
  <c r="T43" i="1"/>
  <c r="S43" i="1"/>
  <c r="Q43" i="1"/>
  <c r="P43" i="1"/>
  <c r="I43" i="1"/>
  <c r="G43" i="1"/>
  <c r="E43" i="1"/>
  <c r="H43" i="1" s="1"/>
  <c r="B43" i="1"/>
  <c r="AA42" i="1"/>
  <c r="X42" i="1"/>
  <c r="Y42" i="1" s="1"/>
  <c r="V42" i="1"/>
  <c r="T42" i="1"/>
  <c r="S42" i="1"/>
  <c r="Q42" i="1"/>
  <c r="P42" i="1"/>
  <c r="I42" i="1"/>
  <c r="G42" i="1"/>
  <c r="E42" i="1"/>
  <c r="H42" i="1" s="1"/>
  <c r="C42" i="1"/>
  <c r="B42" i="1"/>
  <c r="AA41" i="1"/>
  <c r="Y41" i="1"/>
  <c r="X41" i="1"/>
  <c r="V41" i="1"/>
  <c r="T41" i="1"/>
  <c r="S41" i="1"/>
  <c r="Q41" i="1"/>
  <c r="P41" i="1"/>
  <c r="I41" i="1"/>
  <c r="G41" i="1"/>
  <c r="E41" i="1"/>
  <c r="H41" i="1" s="1"/>
  <c r="B41" i="1"/>
  <c r="AA40" i="1"/>
  <c r="X40" i="1"/>
  <c r="Y40" i="1" s="1"/>
  <c r="V40" i="1"/>
  <c r="T40" i="1"/>
  <c r="S40" i="1"/>
  <c r="P40" i="1"/>
  <c r="Q40" i="1" s="1"/>
  <c r="I40" i="1"/>
  <c r="G40" i="1"/>
  <c r="E40" i="1"/>
  <c r="H40" i="1" s="1"/>
  <c r="B40" i="1"/>
  <c r="AA39" i="1"/>
  <c r="X39" i="1"/>
  <c r="Y39" i="1" s="1"/>
  <c r="V39" i="1"/>
  <c r="S39" i="1"/>
  <c r="T39" i="1" s="1"/>
  <c r="Q39" i="1"/>
  <c r="P39" i="1"/>
  <c r="I39" i="1"/>
  <c r="H39" i="1"/>
  <c r="G39" i="1"/>
  <c r="E39" i="1"/>
  <c r="B39" i="1"/>
  <c r="AA38" i="1"/>
  <c r="X38" i="1"/>
  <c r="Y38" i="1" s="1"/>
  <c r="V38" i="1"/>
  <c r="S38" i="1"/>
  <c r="T38" i="1" s="1"/>
  <c r="Q38" i="1"/>
  <c r="P38" i="1"/>
  <c r="I38" i="1"/>
  <c r="H38" i="1"/>
  <c r="G38" i="1"/>
  <c r="E38" i="1"/>
  <c r="B38" i="1"/>
  <c r="AA37" i="1"/>
  <c r="X37" i="1"/>
  <c r="Y37" i="1" s="1"/>
  <c r="V37" i="1"/>
  <c r="S37" i="1"/>
  <c r="T37" i="1" s="1"/>
  <c r="Q37" i="1"/>
  <c r="P37" i="1"/>
  <c r="I37" i="1"/>
  <c r="G37" i="1"/>
  <c r="E37" i="1"/>
  <c r="H37" i="1" s="1"/>
  <c r="B37" i="1"/>
  <c r="AA36" i="1"/>
  <c r="X36" i="1"/>
  <c r="Y36" i="1" s="1"/>
  <c r="V36" i="1"/>
  <c r="T36" i="1"/>
  <c r="S36" i="1"/>
  <c r="Q36" i="1"/>
  <c r="P36" i="1"/>
  <c r="I36" i="1"/>
  <c r="G36" i="1"/>
  <c r="E36" i="1"/>
  <c r="H36" i="1" s="1"/>
  <c r="B36" i="1"/>
  <c r="C36" i="1" s="1"/>
  <c r="AA35" i="1"/>
  <c r="Y35" i="1"/>
  <c r="X35" i="1"/>
  <c r="V35" i="1"/>
  <c r="T35" i="1"/>
  <c r="S35" i="1"/>
  <c r="Q35" i="1"/>
  <c r="P35" i="1"/>
  <c r="I35" i="1"/>
  <c r="G35" i="1"/>
  <c r="E35" i="1"/>
  <c r="H35" i="1" s="1"/>
  <c r="C35" i="1"/>
  <c r="B35" i="1"/>
  <c r="AA34" i="1"/>
  <c r="X34" i="1"/>
  <c r="Y34" i="1" s="1"/>
  <c r="V34" i="1"/>
  <c r="T34" i="1"/>
  <c r="S34" i="1"/>
  <c r="P34" i="1"/>
  <c r="Q34" i="1" s="1"/>
  <c r="I34" i="1"/>
  <c r="G34" i="1"/>
  <c r="E34" i="1"/>
  <c r="H34" i="1" s="1"/>
  <c r="B34" i="1"/>
  <c r="AA33" i="1"/>
  <c r="X33" i="1"/>
  <c r="Y33" i="1" s="1"/>
  <c r="V33" i="1"/>
  <c r="S33" i="1"/>
  <c r="T33" i="1" s="1"/>
  <c r="Q33" i="1"/>
  <c r="P33" i="1"/>
  <c r="I33" i="1"/>
  <c r="H33" i="1"/>
  <c r="G33" i="1"/>
  <c r="E33" i="1"/>
  <c r="B33" i="1"/>
  <c r="AA32" i="1"/>
  <c r="X32" i="1"/>
  <c r="Y32" i="1" s="1"/>
  <c r="V32" i="1"/>
  <c r="S32" i="1"/>
  <c r="T32" i="1" s="1"/>
  <c r="Q32" i="1"/>
  <c r="P32" i="1"/>
  <c r="I32" i="1"/>
  <c r="H32" i="1"/>
  <c r="G32" i="1"/>
  <c r="E32" i="1"/>
  <c r="B32" i="1"/>
  <c r="AA31" i="1"/>
  <c r="X31" i="1"/>
  <c r="Y31" i="1" s="1"/>
  <c r="V31" i="1"/>
  <c r="S31" i="1"/>
  <c r="T31" i="1" s="1"/>
  <c r="Q31" i="1"/>
  <c r="P31" i="1"/>
  <c r="I31" i="1"/>
  <c r="G31" i="1"/>
  <c r="E31" i="1"/>
  <c r="H31" i="1" s="1"/>
  <c r="B31" i="1"/>
  <c r="AA30" i="1"/>
  <c r="Y30" i="1"/>
  <c r="X30" i="1"/>
  <c r="V30" i="1"/>
  <c r="T30" i="1"/>
  <c r="S30" i="1"/>
  <c r="Q30" i="1"/>
  <c r="P30" i="1"/>
  <c r="I30" i="1"/>
  <c r="G30" i="1"/>
  <c r="E30" i="1"/>
  <c r="H30" i="1" s="1"/>
  <c r="B30" i="1"/>
  <c r="AA29" i="1"/>
  <c r="Y29" i="1"/>
  <c r="X29" i="1"/>
  <c r="V29" i="1"/>
  <c r="T29" i="1"/>
  <c r="S29" i="1"/>
  <c r="Q29" i="1"/>
  <c r="P29" i="1"/>
  <c r="I29" i="1"/>
  <c r="G29" i="1"/>
  <c r="E29" i="1"/>
  <c r="H29" i="1" s="1"/>
  <c r="B29" i="1"/>
  <c r="C29" i="1" s="1"/>
  <c r="AA28" i="1"/>
  <c r="X28" i="1"/>
  <c r="Y28" i="1" s="1"/>
  <c r="V28" i="1"/>
  <c r="T28" i="1"/>
  <c r="S28" i="1"/>
  <c r="P28" i="1"/>
  <c r="Q28" i="1" s="1"/>
  <c r="I28" i="1"/>
  <c r="G28" i="1"/>
  <c r="E28" i="1"/>
  <c r="H28" i="1" s="1"/>
  <c r="B28" i="1"/>
  <c r="AA27" i="1"/>
  <c r="X27" i="1"/>
  <c r="Y27" i="1" s="1"/>
  <c r="V27" i="1"/>
  <c r="S27" i="1"/>
  <c r="T27" i="1" s="1"/>
  <c r="P27" i="1"/>
  <c r="Q27" i="1" s="1"/>
  <c r="I27" i="1"/>
  <c r="H27" i="1"/>
  <c r="G27" i="1"/>
  <c r="E27" i="1"/>
  <c r="B27" i="1"/>
  <c r="AA26" i="1"/>
  <c r="X26" i="1"/>
  <c r="Y26" i="1" s="1"/>
  <c r="V26" i="1"/>
  <c r="S26" i="1"/>
  <c r="T26" i="1" s="1"/>
  <c r="P26" i="1"/>
  <c r="Q26" i="1" s="1"/>
  <c r="I26" i="1"/>
  <c r="H26" i="1"/>
  <c r="G26" i="1"/>
  <c r="E26" i="1"/>
  <c r="B26" i="1"/>
  <c r="AA25" i="1"/>
  <c r="X25" i="1"/>
  <c r="Y25" i="1" s="1"/>
  <c r="V25" i="1"/>
  <c r="S25" i="1"/>
  <c r="T25" i="1" s="1"/>
  <c r="Q25" i="1"/>
  <c r="P25" i="1"/>
  <c r="I25" i="1"/>
  <c r="G25" i="1"/>
  <c r="E25" i="1"/>
  <c r="H25" i="1" s="1"/>
  <c r="B25" i="1"/>
  <c r="AA24" i="1"/>
  <c r="X24" i="1"/>
  <c r="Y24" i="1" s="1"/>
  <c r="V24" i="1"/>
  <c r="T24" i="1"/>
  <c r="S24" i="1"/>
  <c r="Q24" i="1"/>
  <c r="P24" i="1"/>
  <c r="I24" i="1"/>
  <c r="G24" i="1"/>
  <c r="E24" i="1"/>
  <c r="H24" i="1" s="1"/>
  <c r="B24" i="1"/>
  <c r="AA23" i="1"/>
  <c r="Y23" i="1"/>
  <c r="X23" i="1"/>
  <c r="V23" i="1"/>
  <c r="T23" i="1"/>
  <c r="S23" i="1"/>
  <c r="Q23" i="1"/>
  <c r="P23" i="1"/>
  <c r="I23" i="1"/>
  <c r="G23" i="1"/>
  <c r="E23" i="1"/>
  <c r="H23" i="1" s="1"/>
  <c r="B23" i="1"/>
  <c r="AA22" i="1"/>
  <c r="X22" i="1"/>
  <c r="Y22" i="1" s="1"/>
  <c r="V22" i="1"/>
  <c r="T22" i="1"/>
  <c r="S22" i="1"/>
  <c r="P22" i="1"/>
  <c r="Q22" i="1" s="1"/>
  <c r="I22" i="1"/>
  <c r="G22" i="1"/>
  <c r="E22" i="1"/>
  <c r="H22" i="1" s="1"/>
  <c r="B22" i="1"/>
  <c r="AA21" i="1"/>
  <c r="X21" i="1"/>
  <c r="Y21" i="1" s="1"/>
  <c r="V21" i="1"/>
  <c r="S21" i="1"/>
  <c r="T21" i="1" s="1"/>
  <c r="P21" i="1"/>
  <c r="Q21" i="1" s="1"/>
  <c r="I21" i="1"/>
  <c r="H21" i="1"/>
  <c r="G21" i="1"/>
  <c r="E21" i="1"/>
  <c r="B21" i="1"/>
  <c r="AA20" i="1"/>
  <c r="X20" i="1"/>
  <c r="Y20" i="1" s="1"/>
  <c r="V20" i="1"/>
  <c r="S20" i="1"/>
  <c r="T20" i="1" s="1"/>
  <c r="P20" i="1"/>
  <c r="Q20" i="1" s="1"/>
  <c r="I20" i="1"/>
  <c r="H20" i="1"/>
  <c r="G20" i="1"/>
  <c r="E20" i="1"/>
  <c r="B20" i="1"/>
  <c r="AA19" i="1"/>
  <c r="X19" i="1"/>
  <c r="Y19" i="1" s="1"/>
  <c r="V19" i="1"/>
  <c r="S19" i="1"/>
  <c r="T19" i="1" s="1"/>
  <c r="Q19" i="1"/>
  <c r="P19" i="1"/>
  <c r="I19" i="1"/>
  <c r="G19" i="1"/>
  <c r="E19" i="1"/>
  <c r="H19" i="1" s="1"/>
  <c r="B19" i="1"/>
  <c r="AA18" i="1"/>
  <c r="X18" i="1"/>
  <c r="Y18" i="1" s="1"/>
  <c r="V18" i="1"/>
  <c r="T18" i="1"/>
  <c r="S18" i="1"/>
  <c r="Q18" i="1"/>
  <c r="P18" i="1"/>
  <c r="I18" i="1"/>
  <c r="G18" i="1"/>
  <c r="E18" i="1"/>
  <c r="H18" i="1" s="1"/>
  <c r="B18" i="1"/>
  <c r="AA17" i="1"/>
  <c r="Y17" i="1"/>
  <c r="X17" i="1"/>
  <c r="V17" i="1"/>
  <c r="T17" i="1"/>
  <c r="S17" i="1"/>
  <c r="Q17" i="1"/>
  <c r="P17" i="1"/>
  <c r="I17" i="1"/>
  <c r="G17" i="1"/>
  <c r="E17" i="1"/>
  <c r="H17" i="1" s="1"/>
  <c r="B17" i="1"/>
  <c r="AA16" i="1"/>
  <c r="X16" i="1"/>
  <c r="Y16" i="1" s="1"/>
  <c r="V16" i="1"/>
  <c r="T16" i="1"/>
  <c r="S16" i="1"/>
  <c r="P16" i="1"/>
  <c r="Q16" i="1" s="1"/>
  <c r="I16" i="1"/>
  <c r="H16" i="1"/>
  <c r="G16" i="1"/>
  <c r="E16" i="1"/>
  <c r="B16" i="1"/>
  <c r="AA15" i="1"/>
  <c r="X15" i="1"/>
  <c r="Y15" i="1" s="1"/>
  <c r="V15" i="1"/>
  <c r="S15" i="1"/>
  <c r="T15" i="1" s="1"/>
  <c r="P15" i="1"/>
  <c r="Q15" i="1" s="1"/>
  <c r="I15" i="1"/>
  <c r="H15" i="1"/>
  <c r="G15" i="1"/>
  <c r="E15" i="1"/>
  <c r="B15" i="1"/>
  <c r="AA14" i="1"/>
  <c r="X14" i="1"/>
  <c r="Y14" i="1" s="1"/>
  <c r="V14" i="1"/>
  <c r="T14" i="1"/>
  <c r="S14" i="1"/>
  <c r="P14" i="1"/>
  <c r="Q14" i="1" s="1"/>
  <c r="I14" i="1"/>
  <c r="H14" i="1"/>
  <c r="G14" i="1"/>
  <c r="E14" i="1"/>
  <c r="B14" i="1"/>
  <c r="AA13" i="1"/>
  <c r="X13" i="1"/>
  <c r="Y13" i="1" s="1"/>
  <c r="V13" i="1"/>
  <c r="T13" i="1"/>
  <c r="S13" i="1"/>
  <c r="Q13" i="1"/>
  <c r="P13" i="1"/>
  <c r="I13" i="1"/>
  <c r="G13" i="1"/>
  <c r="E13" i="1"/>
  <c r="H13" i="1" s="1"/>
  <c r="B13" i="1"/>
  <c r="AA12" i="1"/>
  <c r="X12" i="1"/>
  <c r="Y12" i="1" s="1"/>
  <c r="V12" i="1"/>
  <c r="T12" i="1"/>
  <c r="S12" i="1"/>
  <c r="Q12" i="1"/>
  <c r="P12" i="1"/>
  <c r="I12" i="1"/>
  <c r="G12" i="1"/>
  <c r="E12" i="1"/>
  <c r="H12" i="1" s="1"/>
  <c r="B12" i="1"/>
  <c r="AA11" i="1"/>
  <c r="Y11" i="1"/>
  <c r="X11" i="1"/>
  <c r="V11" i="1"/>
  <c r="T11" i="1"/>
  <c r="S11" i="1"/>
  <c r="Q11" i="1"/>
  <c r="P11" i="1"/>
  <c r="I11" i="1"/>
  <c r="G11" i="1"/>
  <c r="E11" i="1"/>
  <c r="H11" i="1" s="1"/>
  <c r="B11" i="1"/>
  <c r="AA10" i="1"/>
  <c r="X10" i="1"/>
  <c r="Y10" i="1" s="1"/>
  <c r="V10" i="1"/>
  <c r="T10" i="1"/>
  <c r="S10" i="1"/>
  <c r="P10" i="1"/>
  <c r="Q10" i="1" s="1"/>
  <c r="I10" i="1"/>
  <c r="H10" i="1"/>
  <c r="G10" i="1"/>
  <c r="E10" i="1"/>
  <c r="B10" i="1"/>
  <c r="AA9" i="1"/>
  <c r="X9" i="1"/>
  <c r="Y9" i="1" s="1"/>
  <c r="V9" i="1"/>
  <c r="S9" i="1"/>
  <c r="T9" i="1" s="1"/>
  <c r="P9" i="1"/>
  <c r="Q9" i="1" s="1"/>
  <c r="I9" i="1"/>
  <c r="H9" i="1"/>
  <c r="G9" i="1"/>
  <c r="E9" i="1"/>
  <c r="B9" i="1"/>
  <c r="AA8" i="1"/>
  <c r="X8" i="1"/>
  <c r="Y8" i="1" s="1"/>
  <c r="V8" i="1"/>
  <c r="S8" i="1"/>
  <c r="T8" i="1" s="1"/>
  <c r="P8" i="1"/>
  <c r="Q8" i="1" s="1"/>
  <c r="I8" i="1"/>
  <c r="H8" i="1"/>
  <c r="G8" i="1"/>
  <c r="E8" i="1"/>
  <c r="B8" i="1"/>
  <c r="AA7" i="1"/>
  <c r="X7" i="1"/>
  <c r="Y7" i="1" s="1"/>
  <c r="V7" i="1"/>
  <c r="S7" i="1"/>
  <c r="T7" i="1" s="1"/>
  <c r="Q7" i="1"/>
  <c r="P7" i="1"/>
  <c r="I7" i="1"/>
  <c r="G7" i="1"/>
  <c r="E7" i="1"/>
  <c r="H7" i="1" s="1"/>
  <c r="B7" i="1"/>
  <c r="AA6" i="1"/>
  <c r="X6" i="1"/>
  <c r="Y6" i="1" s="1"/>
  <c r="V6" i="1"/>
  <c r="T6" i="1"/>
  <c r="S6" i="1"/>
  <c r="Q6" i="1"/>
  <c r="P6" i="1"/>
  <c r="I6" i="1"/>
  <c r="G6" i="1"/>
  <c r="E6" i="1"/>
  <c r="H6" i="1" s="1"/>
  <c r="C6" i="1"/>
  <c r="B6" i="1"/>
  <c r="AA5" i="1"/>
  <c r="Y5" i="1"/>
  <c r="X5" i="1"/>
  <c r="V5" i="1"/>
  <c r="T5" i="1"/>
  <c r="S5" i="1"/>
  <c r="Q5" i="1"/>
  <c r="P5" i="1"/>
  <c r="I5" i="1"/>
  <c r="G5" i="1"/>
  <c r="E5" i="1"/>
  <c r="H5" i="1" s="1"/>
  <c r="B5" i="1"/>
  <c r="AA4" i="1"/>
  <c r="X4" i="1"/>
  <c r="Y4" i="1" s="1"/>
  <c r="V4" i="1"/>
  <c r="T4" i="1"/>
  <c r="S4" i="1"/>
  <c r="P4" i="1"/>
  <c r="Q4" i="1" s="1"/>
  <c r="I4" i="1"/>
  <c r="H4" i="1"/>
  <c r="G4" i="1"/>
  <c r="E4" i="1"/>
  <c r="B4" i="1"/>
  <c r="AA3" i="1"/>
  <c r="X3" i="1"/>
  <c r="Y3" i="1" s="1"/>
  <c r="V3" i="1"/>
  <c r="S3" i="1"/>
  <c r="T3" i="1" s="1"/>
  <c r="Q3" i="1"/>
  <c r="P3" i="1"/>
  <c r="I3" i="1"/>
  <c r="H3" i="1"/>
  <c r="G3" i="1"/>
  <c r="E3" i="1"/>
  <c r="B3" i="1"/>
  <c r="AA2" i="1"/>
  <c r="X2" i="1"/>
  <c r="Y2" i="1" s="1"/>
  <c r="V2" i="1"/>
  <c r="S2" i="1"/>
  <c r="T2" i="1" s="1"/>
  <c r="Q2" i="1"/>
  <c r="P2" i="1"/>
  <c r="I2" i="1"/>
  <c r="H2" i="1"/>
  <c r="G2" i="1"/>
  <c r="E2" i="1"/>
  <c r="B2" i="1"/>
  <c r="C69" i="1" l="1"/>
  <c r="C68" i="1"/>
  <c r="C67" i="1"/>
  <c r="C40" i="1"/>
  <c r="C39" i="1"/>
  <c r="C38" i="1"/>
  <c r="C47" i="1"/>
  <c r="C111" i="1"/>
  <c r="C110" i="1"/>
  <c r="C34" i="1"/>
  <c r="C37" i="1"/>
  <c r="C41" i="1"/>
  <c r="C45" i="1"/>
  <c r="C44" i="1"/>
  <c r="C43" i="1"/>
  <c r="C106" i="1"/>
  <c r="C109" i="1"/>
  <c r="C113" i="1"/>
  <c r="C117" i="1"/>
  <c r="C114" i="1"/>
  <c r="C116" i="1"/>
  <c r="C115" i="1"/>
  <c r="C66" i="1"/>
  <c r="C57" i="1"/>
  <c r="C55" i="1"/>
  <c r="C56" i="1"/>
  <c r="C22" i="1"/>
  <c r="C25" i="1"/>
  <c r="C88" i="1"/>
  <c r="C87" i="1"/>
  <c r="C86" i="1"/>
  <c r="C10" i="1"/>
  <c r="C13" i="1"/>
  <c r="C21" i="1"/>
  <c r="C20" i="1"/>
  <c r="C19" i="1"/>
  <c r="C82" i="1"/>
  <c r="C85" i="1"/>
  <c r="C93" i="1"/>
  <c r="C92" i="1"/>
  <c r="C91" i="1"/>
  <c r="C4" i="1"/>
  <c r="C3" i="1"/>
  <c r="C2" i="1"/>
  <c r="C11" i="1"/>
  <c r="C18" i="1"/>
  <c r="C76" i="1"/>
  <c r="C75" i="1"/>
  <c r="C74" i="1"/>
  <c r="C83" i="1"/>
  <c r="C90" i="1"/>
  <c r="C52" i="1"/>
  <c r="C51" i="1"/>
  <c r="C50" i="1"/>
  <c r="C46" i="1"/>
  <c r="C49" i="1"/>
  <c r="C100" i="1"/>
  <c r="C99" i="1"/>
  <c r="C98" i="1"/>
  <c r="C33" i="1"/>
  <c r="C32" i="1"/>
  <c r="C31" i="1"/>
  <c r="C94" i="1"/>
  <c r="C97" i="1"/>
  <c r="C16" i="1"/>
  <c r="C15" i="1"/>
  <c r="C14" i="1"/>
  <c r="C23" i="1"/>
  <c r="C17" i="1"/>
  <c r="C24" i="1"/>
  <c r="C89" i="1"/>
  <c r="C5" i="1"/>
  <c r="C9" i="1"/>
  <c r="C7" i="1"/>
  <c r="C8" i="1"/>
  <c r="C12" i="1"/>
  <c r="C70" i="1"/>
  <c r="C73" i="1"/>
  <c r="C77" i="1"/>
  <c r="C81" i="1"/>
  <c r="C80" i="1"/>
  <c r="C79" i="1"/>
  <c r="C84" i="1"/>
  <c r="C58" i="1"/>
  <c r="C61" i="1"/>
  <c r="C59" i="1"/>
  <c r="C28" i="1"/>
  <c r="C27" i="1"/>
  <c r="C26" i="1"/>
  <c r="C105" i="1"/>
  <c r="C104" i="1"/>
  <c r="C103" i="1"/>
  <c r="C30" i="1"/>
  <c r="C95" i="1"/>
  <c r="C64" i="1"/>
  <c r="C63" i="1"/>
  <c r="C62" i="1"/>
  <c r="C118" i="1"/>
  <c r="C120" i="1"/>
  <c r="C121" i="1"/>
  <c r="C122" i="1"/>
  <c r="C123" i="1"/>
</calcChain>
</file>

<file path=xl/sharedStrings.xml><?xml version="1.0" encoding="utf-8"?>
<sst xmlns="http://schemas.openxmlformats.org/spreadsheetml/2006/main" count="657" uniqueCount="71">
  <si>
    <t>Batch_ID</t>
  </si>
  <si>
    <t>Batch_ID-Step</t>
  </si>
  <si>
    <t>Batch_ID-Unique</t>
  </si>
  <si>
    <t>Date</t>
  </si>
  <si>
    <t>Day</t>
  </si>
  <si>
    <t>Day_type</t>
  </si>
  <si>
    <t>Week</t>
  </si>
  <si>
    <t>Day_Class</t>
  </si>
  <si>
    <t>Month</t>
  </si>
  <si>
    <t>Product</t>
  </si>
  <si>
    <t>Line</t>
  </si>
  <si>
    <t>Process_Step</t>
  </si>
  <si>
    <t>Process_Step_2</t>
  </si>
  <si>
    <t>Units_Input</t>
  </si>
  <si>
    <t>Units_Passed_First_Time</t>
  </si>
  <si>
    <t>Units_Passed_First_Time_%</t>
  </si>
  <si>
    <t>Units_Passed_First_Time_Class</t>
  </si>
  <si>
    <t>Units_Reworked_And_Passed</t>
  </si>
  <si>
    <t>Units_Reworked_And_Passed_%</t>
  </si>
  <si>
    <t>Units_Reworked_And_Passed_Class</t>
  </si>
  <si>
    <t>Units_Scrapped</t>
  </si>
  <si>
    <t>Units_Scrapped_%1</t>
  </si>
  <si>
    <t>Units_Scrapped_Class1</t>
  </si>
  <si>
    <t>Units_Scrapped_%2</t>
  </si>
  <si>
    <t>Units_Scrapped_Class2</t>
  </si>
  <si>
    <t>Defects_Found</t>
  </si>
  <si>
    <t>Check1</t>
  </si>
  <si>
    <t>B001</t>
  </si>
  <si>
    <t>Working</t>
  </si>
  <si>
    <t>A_Motor</t>
  </si>
  <si>
    <t>L1</t>
  </si>
  <si>
    <t>Cutting</t>
  </si>
  <si>
    <t>Assembly</t>
  </si>
  <si>
    <t>Welding</t>
  </si>
  <si>
    <t>Testing</t>
  </si>
  <si>
    <t>B002</t>
  </si>
  <si>
    <t>Holiday</t>
  </si>
  <si>
    <t>B003</t>
  </si>
  <si>
    <t>B_Panel</t>
  </si>
  <si>
    <t>L2</t>
  </si>
  <si>
    <t>B004</t>
  </si>
  <si>
    <t>B005</t>
  </si>
  <si>
    <t>C_Drive</t>
  </si>
  <si>
    <t>L3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</si>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</sst>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Rubik"/>
    </font>
    <font>
      <b/>
      <sz val="10"/>
      <color rgb="FFFF0000"/>
      <name val="Rubik"/>
    </font>
    <font>
      <sz val="10"/>
      <color theme="1"/>
      <name val="Rubik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5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/>
    <xf numFmtId="0" fontId="3" fillId="2" borderId="5" xfId="0" applyFont="1" applyFill="1" applyBorder="1" applyAlignment="1">
      <alignment horizontal="center"/>
    </xf>
    <xf numFmtId="15" fontId="3" fillId="2" borderId="5" xfId="0" applyNumberFormat="1" applyFont="1" applyFill="1" applyBorder="1"/>
    <xf numFmtId="0" fontId="3" fillId="2" borderId="5" xfId="0" applyFont="1" applyFill="1" applyBorder="1"/>
    <xf numFmtId="10" fontId="3" fillId="2" borderId="5" xfId="0" applyNumberFormat="1" applyFont="1" applyFill="1" applyBorder="1"/>
    <xf numFmtId="0" fontId="3" fillId="2" borderId="6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15" fontId="3" fillId="0" borderId="5" xfId="0" applyNumberFormat="1" applyFont="1" applyBorder="1"/>
    <xf numFmtId="0" fontId="3" fillId="0" borderId="5" xfId="0" applyFont="1" applyBorder="1"/>
    <xf numFmtId="10" fontId="3" fillId="0" borderId="5" xfId="0" applyNumberFormat="1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15" fontId="3" fillId="0" borderId="8" xfId="0" applyNumberFormat="1" applyFont="1" applyBorder="1"/>
    <xf numFmtId="0" fontId="3" fillId="0" borderId="8" xfId="0" applyFont="1" applyBorder="1"/>
    <xf numFmtId="10" fontId="3" fillId="0" borderId="8" xfId="0" applyNumberFormat="1" applyFont="1" applyBorder="1"/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ubik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72710-ABDB-4614-A815-80BDF5217332}" name="Table1" displayName="Table1" ref="A1:AA127" totalsRowShown="0" headerRowDxfId="30" headerRowBorderDxfId="28" tableBorderDxfId="29" totalsRowBorderDxfId="27">
  <autoFilter ref="A1:AA127" xr:uid="{8E572710-ABDB-4614-A815-80BDF5217332}"/>
  <sortState xmlns:xlrd2="http://schemas.microsoft.com/office/spreadsheetml/2017/richdata2" ref="A2:AA127">
    <sortCondition ref="A2:A127"/>
    <sortCondition ref="M2:M127"/>
  </sortState>
  <tableColumns count="27">
    <tableColumn id="1" xr3:uid="{6873A784-21BC-4D75-A314-73DA60D3DB7F}" name="Batch_ID" dataDxfId="26"/>
    <tableColumn id="2" xr3:uid="{4436BC2F-89FB-4BAE-970B-92C0858CDC34}" name="Batch_ID-Step" dataDxfId="25">
      <calculatedColumnFormula>COUNTIFS($A$2:A2,A2)</calculatedColumnFormula>
    </tableColumn>
    <tableColumn id="3" xr3:uid="{913E489E-9079-4EA5-AA1B-C53D94BAC0F0}" name="Batch_ID-Unique" dataDxfId="24">
      <calculatedColumnFormula>1/_xlfn.MAXIFS($B$2:$B$127,$A$2:$A$127,A2)</calculatedColumnFormula>
    </tableColumn>
    <tableColumn id="4" xr3:uid="{A4EAE433-8D7C-4394-ABFC-A60C80A83582}" name="Date" dataDxfId="23"/>
    <tableColumn id="5" xr3:uid="{381C2969-AEFE-4C07-9B06-168EA1530A18}" name="Day" dataDxfId="22">
      <calculatedColumnFormula>TEXT(D2,"DDD")</calculatedColumnFormula>
    </tableColumn>
    <tableColumn id="6" xr3:uid="{245B8415-A202-430D-A768-7E51C80D534A}" name="Day_type" dataDxfId="21"/>
    <tableColumn id="7" xr3:uid="{18C51E31-7A3D-453B-92B9-0064AA4741AC}" name="Week" dataDxfId="20">
      <calculatedColumnFormula>IF(VALUE(TEXT(D2,"DD"))&lt;=7,"Week 1",IF(VALUE(TEXT(D2,"DD"))&lt;=14,"Week 2",IF(VALUE(TEXT(D2,"DD"))&lt;=21,"Week 3","Week 4")))</calculatedColumnFormula>
    </tableColumn>
    <tableColumn id="8" xr3:uid="{81CFD2A6-CFF8-4732-80B0-7B59472AE7F2}" name="Day_Class" dataDxfId="19">
      <calculatedColumnFormula>IF(OR(E2="Sat",E2="Sun"),"Weekend","Weekday")</calculatedColumnFormula>
    </tableColumn>
    <tableColumn id="9" xr3:uid="{8E44F68D-DD84-4DCB-8627-1F70FF146E5D}" name="Month" dataDxfId="18">
      <calculatedColumnFormula>TEXT(D2,"MMM")</calculatedColumnFormula>
    </tableColumn>
    <tableColumn id="10" xr3:uid="{1A19DE41-1749-4667-94BE-FDDB2785124F}" name="Product" dataDxfId="17"/>
    <tableColumn id="11" xr3:uid="{F094C635-DCC9-46A7-9A1B-4011B17C3D8D}" name="Line" dataDxfId="16"/>
    <tableColumn id="12" xr3:uid="{EFDAD93C-4B5C-4BC8-9BEB-68D99DCDFFE1}" name="Process_Step" dataDxfId="15"/>
    <tableColumn id="13" xr3:uid="{A1E3D1DA-4AB8-4503-A391-A4B207E42152}" name="Process_Step_2" dataDxfId="14"/>
    <tableColumn id="14" xr3:uid="{D0A62102-8D68-4F8E-B96E-D163E38D1157}" name="Units_Input" dataDxfId="13"/>
    <tableColumn id="15" xr3:uid="{8080AC06-BA59-4069-98BE-2AFFEFBA6639}" name="Units_Passed_First_Time" dataDxfId="12"/>
    <tableColumn id="16" xr3:uid="{8A03686F-28C3-4E87-AE6C-9601635787E1}" name="Units_Passed_First_Time_%" dataDxfId="11">
      <calculatedColumnFormula>O2/N2</calculatedColumnFormula>
    </tableColumn>
    <tableColumn id="17" xr3:uid="{D8821042-50CB-4054-A2C2-14496BBE1411}" name="Units_Passed_First_Time_Class" dataDxfId="10">
      <calculatedColumnFormula>IF(P2&lt;=94.55%,"P0 Critical",IF(P2&lt;=95%,"P1 Attention",IF(P2&lt;=97%,"P2 Observe")))</calculatedColumnFormula>
    </tableColumn>
    <tableColumn id="18" xr3:uid="{226CF1D3-69FD-4E56-A8E9-957E87C399AD}" name="Units_Reworked_And_Passed" dataDxfId="9"/>
    <tableColumn id="19" xr3:uid="{48870D16-69C7-44BC-A657-17FAB0B58636}" name="Units_Reworked_And_Passed_%" dataDxfId="8">
      <calculatedColumnFormula>R2/O2</calculatedColumnFormula>
    </tableColumn>
    <tableColumn id="20" xr3:uid="{86161A21-914D-4591-8C42-60C48C69E16C}" name="Units_Reworked_And_Passed_Class" dataDxfId="7">
      <calculatedColumnFormula>IF(S2&lt;=3.15%,"P0 Critical",IF(S2&lt;=3.5%,"P1 Attention",IF(S2&lt;=5%,"P2 Observe")))</calculatedColumnFormula>
    </tableColumn>
    <tableColumn id="21" xr3:uid="{B7D4E115-E2F9-431D-A8F8-393B5C1F6C5A}" name="Units_Scrapped" dataDxfId="6"/>
    <tableColumn id="22" xr3:uid="{B6E369AD-6659-4C53-83E9-565302202A44}" name="Units_Scrapped_%1" dataDxfId="5">
      <calculatedColumnFormula>U2/R2</calculatedColumnFormula>
    </tableColumn>
    <tableColumn id="23" xr3:uid="{1EB5558C-B1C4-4CC0-9366-D9115B77D9F5}" name="Units_Scrapped_Class1" dataDxfId="4"/>
    <tableColumn id="24" xr3:uid="{0DF2583F-589B-4EF0-A474-44113596E86B}" name="Units_Scrapped_%2" dataDxfId="3">
      <calculatedColumnFormula>U2/N2</calculatedColumnFormula>
    </tableColumn>
    <tableColumn id="25" xr3:uid="{3E4A0861-D664-4611-BC4B-93830756A017}" name="Units_Scrapped_Class2" dataDxfId="2">
      <calculatedColumnFormula>IF(X2&lt;=1.85%,"P0 Critical",IF(X2&lt;=2%,"P1 Attention",IF(X2&lt;=5%,"P2 Observe")))</calculatedColumnFormula>
    </tableColumn>
    <tableColumn id="26" xr3:uid="{2AB5F0C2-F27F-4D54-8651-471461521C11}" name="Defects_Found" dataDxfId="1"/>
    <tableColumn id="27" xr3:uid="{A906DE31-7E64-4DFE-9D46-1151EC421C9B}" name="Check1" dataDxfId="0">
      <calculatedColumnFormula>N2-SUM(O2,R2,U2)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2F93-0365-4ED0-AD16-28FB369B46F7}">
  <dimension ref="A1:AA127"/>
  <sheetViews>
    <sheetView tabSelected="1" workbookViewId="0">
      <selection activeCell="F3" sqref="F3"/>
    </sheetView>
  </sheetViews>
  <sheetFormatPr defaultRowHeight="14.5" x14ac:dyDescent="0.35"/>
  <cols>
    <col min="4" max="4" width="10.54296875" bestFit="1" customWidth="1"/>
  </cols>
  <sheetData>
    <row r="1" spans="1:27" ht="80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4" t="s">
        <v>25</v>
      </c>
      <c r="AA1" s="5" t="s">
        <v>26</v>
      </c>
    </row>
    <row r="2" spans="1:27" ht="16.5" x14ac:dyDescent="0.55000000000000004">
      <c r="A2" s="6" t="s">
        <v>27</v>
      </c>
      <c r="B2" s="7">
        <f>COUNTIFS($A$2:A2,A2)</f>
        <v>1</v>
      </c>
      <c r="C2" s="7">
        <f t="shared" ref="C2:C65" si="0">1/_xlfn.MAXIFS($B$2:$B$127,$A$2:$A$127,A2)</f>
        <v>0.25</v>
      </c>
      <c r="D2" s="8">
        <v>46082</v>
      </c>
      <c r="E2" s="8" t="str">
        <f t="shared" ref="E2:E65" si="1">TEXT(D2,"DDD")</f>
        <v>Sun</v>
      </c>
      <c r="F2" s="8" t="s">
        <v>28</v>
      </c>
      <c r="G2" s="8" t="str">
        <f t="shared" ref="G2:G65" si="2">IF(VALUE(TEXT(D2,"DD"))&lt;=7,"Week 1",IF(VALUE(TEXT(D2,"DD"))&lt;=14,"Week 2",IF(VALUE(TEXT(D2,"DD"))&lt;=21,"Week 3","Week 4")))</f>
        <v>Week 1</v>
      </c>
      <c r="H2" s="8" t="str">
        <f t="shared" ref="H2:H65" si="3">IF(OR(E2="Sat",E2="Sun"),"Weekend","Weekday")</f>
        <v>Weekend</v>
      </c>
      <c r="I2" s="8" t="str">
        <f t="shared" ref="I2:I65" si="4">TEXT(D2,"MMM")</f>
        <v>Mar</v>
      </c>
      <c r="J2" s="9" t="s">
        <v>29</v>
      </c>
      <c r="K2" s="9" t="s">
        <v>30</v>
      </c>
      <c r="L2" s="9" t="s">
        <v>31</v>
      </c>
      <c r="M2" s="7">
        <v>1</v>
      </c>
      <c r="N2" s="9">
        <v>1000</v>
      </c>
      <c r="O2" s="9">
        <v>970</v>
      </c>
      <c r="P2" s="10">
        <f t="shared" ref="P2:P65" si="5">O2/N2</f>
        <v>0.97</v>
      </c>
      <c r="Q2" s="9" t="str">
        <f t="shared" ref="Q2:Q65" si="6">IF(P2&lt;=94.55%,"P0 Critical",IF(P2&lt;=95%,"P1 Attention",IF(P2&lt;=97%,"P2 Observe")))</f>
        <v>P2 Observe</v>
      </c>
      <c r="R2" s="9">
        <v>20</v>
      </c>
      <c r="S2" s="10">
        <f t="shared" ref="S2:S65" si="7">R2/O2</f>
        <v>2.0618556701030927E-2</v>
      </c>
      <c r="T2" s="9" t="str">
        <f t="shared" ref="T2:T65" si="8">IF(S2&lt;=3.15%,"P0 Critical",IF(S2&lt;=3.5%,"P1 Attention",IF(S2&lt;=5%,"P2 Observe")))</f>
        <v>P0 Critical</v>
      </c>
      <c r="U2" s="9">
        <v>10</v>
      </c>
      <c r="V2" s="10">
        <f t="shared" ref="V2:V65" si="9">U2/R2</f>
        <v>0.5</v>
      </c>
      <c r="W2" s="9"/>
      <c r="X2" s="10">
        <f t="shared" ref="X2:X65" si="10">U2/N2</f>
        <v>0.01</v>
      </c>
      <c r="Y2" s="9" t="str">
        <f t="shared" ref="Y2:Y65" si="11">IF(X2&lt;=1.85%,"P0 Critical",IF(X2&lt;=2%,"P1 Attention",IF(X2&lt;=5%,"P2 Observe")))</f>
        <v>P0 Critical</v>
      </c>
      <c r="Z2" s="7">
        <v>25</v>
      </c>
      <c r="AA2" s="11">
        <f t="shared" ref="AA2:AA65" si="12">N2-SUM(O2,R2,U2)</f>
        <v>0</v>
      </c>
    </row>
    <row r="3" spans="1:27" ht="16.5" x14ac:dyDescent="0.55000000000000004">
      <c r="A3" s="6" t="s">
        <v>27</v>
      </c>
      <c r="B3" s="7">
        <f>COUNTIFS($A$2:A3,A3)</f>
        <v>2</v>
      </c>
      <c r="C3" s="7">
        <f t="shared" si="0"/>
        <v>0.25</v>
      </c>
      <c r="D3" s="8">
        <v>46082</v>
      </c>
      <c r="E3" s="8" t="str">
        <f t="shared" si="1"/>
        <v>Sun</v>
      </c>
      <c r="F3" s="8" t="s">
        <v>28</v>
      </c>
      <c r="G3" s="8" t="str">
        <f t="shared" si="2"/>
        <v>Week 1</v>
      </c>
      <c r="H3" s="8" t="str">
        <f t="shared" si="3"/>
        <v>Weekend</v>
      </c>
      <c r="I3" s="8" t="str">
        <f t="shared" si="4"/>
        <v>Mar</v>
      </c>
      <c r="J3" s="9" t="s">
        <v>29</v>
      </c>
      <c r="K3" s="9" t="s">
        <v>30</v>
      </c>
      <c r="L3" s="9" t="s">
        <v>32</v>
      </c>
      <c r="M3" s="7">
        <v>2</v>
      </c>
      <c r="N3" s="9">
        <v>975</v>
      </c>
      <c r="O3" s="9">
        <v>930</v>
      </c>
      <c r="P3" s="10">
        <f t="shared" si="5"/>
        <v>0.9538461538461539</v>
      </c>
      <c r="Q3" s="9" t="str">
        <f t="shared" si="6"/>
        <v>P2 Observe</v>
      </c>
      <c r="R3" s="9">
        <v>30</v>
      </c>
      <c r="S3" s="10">
        <f t="shared" si="7"/>
        <v>3.2258064516129031E-2</v>
      </c>
      <c r="T3" s="9" t="str">
        <f t="shared" si="8"/>
        <v>P1 Attention</v>
      </c>
      <c r="U3" s="9">
        <v>15</v>
      </c>
      <c r="V3" s="10">
        <f t="shared" si="9"/>
        <v>0.5</v>
      </c>
      <c r="W3" s="9"/>
      <c r="X3" s="10">
        <f t="shared" si="10"/>
        <v>1.5384615384615385E-2</v>
      </c>
      <c r="Y3" s="9" t="str">
        <f t="shared" si="11"/>
        <v>P0 Critical</v>
      </c>
      <c r="Z3" s="7">
        <v>35</v>
      </c>
      <c r="AA3" s="11">
        <f t="shared" si="12"/>
        <v>0</v>
      </c>
    </row>
    <row r="4" spans="1:27" ht="16.5" x14ac:dyDescent="0.55000000000000004">
      <c r="A4" s="6" t="s">
        <v>27</v>
      </c>
      <c r="B4" s="7">
        <f>COUNTIFS($A$2:A4,A4)</f>
        <v>3</v>
      </c>
      <c r="C4" s="7">
        <f t="shared" si="0"/>
        <v>0.25</v>
      </c>
      <c r="D4" s="8">
        <v>46082</v>
      </c>
      <c r="E4" s="8" t="str">
        <f t="shared" si="1"/>
        <v>Sun</v>
      </c>
      <c r="F4" s="8" t="s">
        <v>28</v>
      </c>
      <c r="G4" s="8" t="str">
        <f t="shared" si="2"/>
        <v>Week 1</v>
      </c>
      <c r="H4" s="8" t="str">
        <f t="shared" si="3"/>
        <v>Weekend</v>
      </c>
      <c r="I4" s="8" t="str">
        <f t="shared" si="4"/>
        <v>Mar</v>
      </c>
      <c r="J4" s="9" t="s">
        <v>29</v>
      </c>
      <c r="K4" s="9" t="s">
        <v>30</v>
      </c>
      <c r="L4" s="9" t="s">
        <v>33</v>
      </c>
      <c r="M4" s="7">
        <v>3</v>
      </c>
      <c r="N4" s="9">
        <v>990</v>
      </c>
      <c r="O4" s="9">
        <v>950</v>
      </c>
      <c r="P4" s="10">
        <f t="shared" si="5"/>
        <v>0.95959595959595956</v>
      </c>
      <c r="Q4" s="9" t="str">
        <f t="shared" si="6"/>
        <v>P2 Observe</v>
      </c>
      <c r="R4" s="9">
        <v>25</v>
      </c>
      <c r="S4" s="10">
        <f t="shared" si="7"/>
        <v>2.6315789473684209E-2</v>
      </c>
      <c r="T4" s="9" t="str">
        <f t="shared" si="8"/>
        <v>P0 Critical</v>
      </c>
      <c r="U4" s="9">
        <v>15</v>
      </c>
      <c r="V4" s="10">
        <f t="shared" si="9"/>
        <v>0.6</v>
      </c>
      <c r="W4" s="9"/>
      <c r="X4" s="10">
        <f t="shared" si="10"/>
        <v>1.5151515151515152E-2</v>
      </c>
      <c r="Y4" s="9" t="str">
        <f t="shared" si="11"/>
        <v>P0 Critical</v>
      </c>
      <c r="Z4" s="7">
        <v>30</v>
      </c>
      <c r="AA4" s="11">
        <f t="shared" si="12"/>
        <v>0</v>
      </c>
    </row>
    <row r="5" spans="1:27" ht="16.5" x14ac:dyDescent="0.55000000000000004">
      <c r="A5" s="6" t="s">
        <v>27</v>
      </c>
      <c r="B5" s="7">
        <f>COUNTIFS($A$2:A5,A5)</f>
        <v>4</v>
      </c>
      <c r="C5" s="7">
        <f t="shared" si="0"/>
        <v>0.25</v>
      </c>
      <c r="D5" s="8">
        <v>46082</v>
      </c>
      <c r="E5" s="8" t="str">
        <f t="shared" si="1"/>
        <v>Sun</v>
      </c>
      <c r="F5" s="8" t="s">
        <v>28</v>
      </c>
      <c r="G5" s="8" t="str">
        <f t="shared" si="2"/>
        <v>Week 1</v>
      </c>
      <c r="H5" s="8" t="str">
        <f t="shared" si="3"/>
        <v>Weekend</v>
      </c>
      <c r="I5" s="8" t="str">
        <f t="shared" si="4"/>
        <v>Mar</v>
      </c>
      <c r="J5" s="9" t="s">
        <v>29</v>
      </c>
      <c r="K5" s="9" t="s">
        <v>30</v>
      </c>
      <c r="L5" s="9" t="s">
        <v>34</v>
      </c>
      <c r="M5" s="7">
        <v>4</v>
      </c>
      <c r="N5" s="9">
        <v>960</v>
      </c>
      <c r="O5" s="9">
        <v>920</v>
      </c>
      <c r="P5" s="10">
        <f t="shared" si="5"/>
        <v>0.95833333333333337</v>
      </c>
      <c r="Q5" s="9" t="str">
        <f t="shared" si="6"/>
        <v>P2 Observe</v>
      </c>
      <c r="R5" s="9">
        <v>25</v>
      </c>
      <c r="S5" s="10">
        <f t="shared" si="7"/>
        <v>2.717391304347826E-2</v>
      </c>
      <c r="T5" s="9" t="str">
        <f t="shared" si="8"/>
        <v>P0 Critical</v>
      </c>
      <c r="U5" s="9">
        <v>15</v>
      </c>
      <c r="V5" s="10">
        <f t="shared" si="9"/>
        <v>0.6</v>
      </c>
      <c r="W5" s="9"/>
      <c r="X5" s="10">
        <f t="shared" si="10"/>
        <v>1.5625E-2</v>
      </c>
      <c r="Y5" s="9" t="str">
        <f t="shared" si="11"/>
        <v>P0 Critical</v>
      </c>
      <c r="Z5" s="7">
        <v>28</v>
      </c>
      <c r="AA5" s="11">
        <f t="shared" si="12"/>
        <v>0</v>
      </c>
    </row>
    <row r="6" spans="1:27" ht="16.5" x14ac:dyDescent="0.55000000000000004">
      <c r="A6" s="6" t="s">
        <v>35</v>
      </c>
      <c r="B6" s="7">
        <f>COUNTIFS($A$2:A6,A6)</f>
        <v>1</v>
      </c>
      <c r="C6" s="7">
        <f t="shared" si="0"/>
        <v>0.25</v>
      </c>
      <c r="D6" s="8">
        <v>46083</v>
      </c>
      <c r="E6" s="8" t="str">
        <f t="shared" si="1"/>
        <v>Mon</v>
      </c>
      <c r="F6" s="8" t="s">
        <v>36</v>
      </c>
      <c r="G6" s="8" t="str">
        <f t="shared" si="2"/>
        <v>Week 1</v>
      </c>
      <c r="H6" s="8" t="str">
        <f t="shared" si="3"/>
        <v>Weekday</v>
      </c>
      <c r="I6" s="8" t="str">
        <f t="shared" si="4"/>
        <v>Mar</v>
      </c>
      <c r="J6" s="9" t="s">
        <v>29</v>
      </c>
      <c r="K6" s="9" t="s">
        <v>30</v>
      </c>
      <c r="L6" s="9" t="s">
        <v>31</v>
      </c>
      <c r="M6" s="7">
        <v>1</v>
      </c>
      <c r="N6" s="9">
        <v>1200</v>
      </c>
      <c r="O6" s="9">
        <v>1160</v>
      </c>
      <c r="P6" s="10">
        <f t="shared" si="5"/>
        <v>0.96666666666666667</v>
      </c>
      <c r="Q6" s="9" t="str">
        <f t="shared" si="6"/>
        <v>P2 Observe</v>
      </c>
      <c r="R6" s="9">
        <v>25</v>
      </c>
      <c r="S6" s="10">
        <f t="shared" si="7"/>
        <v>2.1551724137931036E-2</v>
      </c>
      <c r="T6" s="9" t="str">
        <f t="shared" si="8"/>
        <v>P0 Critical</v>
      </c>
      <c r="U6" s="9">
        <v>15</v>
      </c>
      <c r="V6" s="10">
        <f t="shared" si="9"/>
        <v>0.6</v>
      </c>
      <c r="W6" s="9"/>
      <c r="X6" s="10">
        <f t="shared" si="10"/>
        <v>1.2500000000000001E-2</v>
      </c>
      <c r="Y6" s="9" t="str">
        <f t="shared" si="11"/>
        <v>P0 Critical</v>
      </c>
      <c r="Z6" s="7">
        <v>22</v>
      </c>
      <c r="AA6" s="11">
        <f t="shared" si="12"/>
        <v>0</v>
      </c>
    </row>
    <row r="7" spans="1:27" ht="16.5" x14ac:dyDescent="0.55000000000000004">
      <c r="A7" s="6" t="s">
        <v>35</v>
      </c>
      <c r="B7" s="7">
        <f>COUNTIFS($A$2:A7,A7)</f>
        <v>2</v>
      </c>
      <c r="C7" s="7">
        <f t="shared" si="0"/>
        <v>0.25</v>
      </c>
      <c r="D7" s="8">
        <v>46083</v>
      </c>
      <c r="E7" s="8" t="str">
        <f t="shared" si="1"/>
        <v>Mon</v>
      </c>
      <c r="F7" s="8" t="s">
        <v>36</v>
      </c>
      <c r="G7" s="8" t="str">
        <f t="shared" si="2"/>
        <v>Week 1</v>
      </c>
      <c r="H7" s="8" t="str">
        <f t="shared" si="3"/>
        <v>Weekday</v>
      </c>
      <c r="I7" s="8" t="str">
        <f t="shared" si="4"/>
        <v>Mar</v>
      </c>
      <c r="J7" s="9" t="s">
        <v>29</v>
      </c>
      <c r="K7" s="9" t="s">
        <v>30</v>
      </c>
      <c r="L7" s="9" t="s">
        <v>32</v>
      </c>
      <c r="M7" s="7">
        <v>2</v>
      </c>
      <c r="N7" s="9">
        <v>1165</v>
      </c>
      <c r="O7" s="9">
        <v>1105</v>
      </c>
      <c r="P7" s="10">
        <f t="shared" si="5"/>
        <v>0.94849785407725318</v>
      </c>
      <c r="Q7" s="9" t="str">
        <f t="shared" si="6"/>
        <v>P1 Attention</v>
      </c>
      <c r="R7" s="9">
        <v>40</v>
      </c>
      <c r="S7" s="10">
        <f t="shared" si="7"/>
        <v>3.6199095022624438E-2</v>
      </c>
      <c r="T7" s="9" t="str">
        <f t="shared" si="8"/>
        <v>P2 Observe</v>
      </c>
      <c r="U7" s="9">
        <v>20</v>
      </c>
      <c r="V7" s="10">
        <f t="shared" si="9"/>
        <v>0.5</v>
      </c>
      <c r="W7" s="9"/>
      <c r="X7" s="10">
        <f t="shared" si="10"/>
        <v>1.7167381974248927E-2</v>
      </c>
      <c r="Y7" s="9" t="str">
        <f t="shared" si="11"/>
        <v>P0 Critical</v>
      </c>
      <c r="Z7" s="7">
        <v>45</v>
      </c>
      <c r="AA7" s="11">
        <f t="shared" si="12"/>
        <v>0</v>
      </c>
    </row>
    <row r="8" spans="1:27" ht="16.5" x14ac:dyDescent="0.55000000000000004">
      <c r="A8" s="6" t="s">
        <v>35</v>
      </c>
      <c r="B8" s="7">
        <f>COUNTIFS($A$2:A8,A8)</f>
        <v>3</v>
      </c>
      <c r="C8" s="7">
        <f t="shared" si="0"/>
        <v>0.25</v>
      </c>
      <c r="D8" s="8">
        <v>46083</v>
      </c>
      <c r="E8" s="8" t="str">
        <f t="shared" si="1"/>
        <v>Mon</v>
      </c>
      <c r="F8" s="8" t="s">
        <v>36</v>
      </c>
      <c r="G8" s="8" t="str">
        <f t="shared" si="2"/>
        <v>Week 1</v>
      </c>
      <c r="H8" s="8" t="str">
        <f t="shared" si="3"/>
        <v>Weekday</v>
      </c>
      <c r="I8" s="8" t="str">
        <f t="shared" si="4"/>
        <v>Mar</v>
      </c>
      <c r="J8" s="9" t="s">
        <v>29</v>
      </c>
      <c r="K8" s="9" t="s">
        <v>30</v>
      </c>
      <c r="L8" s="9" t="s">
        <v>33</v>
      </c>
      <c r="M8" s="7">
        <v>3</v>
      </c>
      <c r="N8" s="9">
        <v>1185</v>
      </c>
      <c r="O8" s="9">
        <v>1130</v>
      </c>
      <c r="P8" s="10">
        <f t="shared" si="5"/>
        <v>0.95358649789029537</v>
      </c>
      <c r="Q8" s="9" t="str">
        <f t="shared" si="6"/>
        <v>P2 Observe</v>
      </c>
      <c r="R8" s="9">
        <v>35</v>
      </c>
      <c r="S8" s="10">
        <f t="shared" si="7"/>
        <v>3.0973451327433628E-2</v>
      </c>
      <c r="T8" s="9" t="str">
        <f t="shared" si="8"/>
        <v>P0 Critical</v>
      </c>
      <c r="U8" s="9">
        <v>20</v>
      </c>
      <c r="V8" s="10">
        <f t="shared" si="9"/>
        <v>0.5714285714285714</v>
      </c>
      <c r="W8" s="9"/>
      <c r="X8" s="10">
        <f t="shared" si="10"/>
        <v>1.6877637130801686E-2</v>
      </c>
      <c r="Y8" s="9" t="str">
        <f t="shared" si="11"/>
        <v>P0 Critical</v>
      </c>
      <c r="Z8" s="7">
        <v>40</v>
      </c>
      <c r="AA8" s="11">
        <f t="shared" si="12"/>
        <v>0</v>
      </c>
    </row>
    <row r="9" spans="1:27" ht="16.5" x14ac:dyDescent="0.55000000000000004">
      <c r="A9" s="6" t="s">
        <v>35</v>
      </c>
      <c r="B9" s="7">
        <f>COUNTIFS($A$2:A9,A9)</f>
        <v>4</v>
      </c>
      <c r="C9" s="7">
        <f t="shared" si="0"/>
        <v>0.25</v>
      </c>
      <c r="D9" s="8">
        <v>46083</v>
      </c>
      <c r="E9" s="8" t="str">
        <f t="shared" si="1"/>
        <v>Mon</v>
      </c>
      <c r="F9" s="8" t="s">
        <v>36</v>
      </c>
      <c r="G9" s="8" t="str">
        <f t="shared" si="2"/>
        <v>Week 1</v>
      </c>
      <c r="H9" s="8" t="str">
        <f t="shared" si="3"/>
        <v>Weekday</v>
      </c>
      <c r="I9" s="8" t="str">
        <f t="shared" si="4"/>
        <v>Mar</v>
      </c>
      <c r="J9" s="9" t="s">
        <v>29</v>
      </c>
      <c r="K9" s="9" t="s">
        <v>30</v>
      </c>
      <c r="L9" s="9" t="s">
        <v>34</v>
      </c>
      <c r="M9" s="7">
        <v>4</v>
      </c>
      <c r="N9" s="9">
        <v>1145</v>
      </c>
      <c r="O9" s="9">
        <v>1090</v>
      </c>
      <c r="P9" s="10">
        <f t="shared" si="5"/>
        <v>0.95196506550218341</v>
      </c>
      <c r="Q9" s="9" t="str">
        <f t="shared" si="6"/>
        <v>P2 Observe</v>
      </c>
      <c r="R9" s="9">
        <v>35</v>
      </c>
      <c r="S9" s="10">
        <f t="shared" si="7"/>
        <v>3.2110091743119268E-2</v>
      </c>
      <c r="T9" s="9" t="str">
        <f t="shared" si="8"/>
        <v>P1 Attention</v>
      </c>
      <c r="U9" s="9">
        <v>20</v>
      </c>
      <c r="V9" s="10">
        <f t="shared" si="9"/>
        <v>0.5714285714285714</v>
      </c>
      <c r="W9" s="9"/>
      <c r="X9" s="10">
        <f t="shared" si="10"/>
        <v>1.7467248908296942E-2</v>
      </c>
      <c r="Y9" s="9" t="str">
        <f t="shared" si="11"/>
        <v>P0 Critical</v>
      </c>
      <c r="Z9" s="7">
        <v>38</v>
      </c>
      <c r="AA9" s="11">
        <f t="shared" si="12"/>
        <v>0</v>
      </c>
    </row>
    <row r="10" spans="1:27" ht="16.5" x14ac:dyDescent="0.55000000000000004">
      <c r="A10" s="6" t="s">
        <v>37</v>
      </c>
      <c r="B10" s="7">
        <f>COUNTIFS($A$2:A10,A10)</f>
        <v>1</v>
      </c>
      <c r="C10" s="7">
        <f t="shared" si="0"/>
        <v>0.25</v>
      </c>
      <c r="D10" s="8">
        <v>46084</v>
      </c>
      <c r="E10" s="8" t="str">
        <f t="shared" si="1"/>
        <v>Tue</v>
      </c>
      <c r="F10" s="8" t="s">
        <v>28</v>
      </c>
      <c r="G10" s="8" t="str">
        <f t="shared" si="2"/>
        <v>Week 1</v>
      </c>
      <c r="H10" s="8" t="str">
        <f t="shared" si="3"/>
        <v>Weekday</v>
      </c>
      <c r="I10" s="8" t="str">
        <f t="shared" si="4"/>
        <v>Mar</v>
      </c>
      <c r="J10" s="9" t="s">
        <v>38</v>
      </c>
      <c r="K10" s="9" t="s">
        <v>39</v>
      </c>
      <c r="L10" s="9" t="s">
        <v>31</v>
      </c>
      <c r="M10" s="7">
        <v>1</v>
      </c>
      <c r="N10" s="9">
        <v>900</v>
      </c>
      <c r="O10" s="9">
        <v>860</v>
      </c>
      <c r="P10" s="10">
        <f t="shared" si="5"/>
        <v>0.9555555555555556</v>
      </c>
      <c r="Q10" s="9" t="str">
        <f t="shared" si="6"/>
        <v>P2 Observe</v>
      </c>
      <c r="R10" s="9">
        <v>25</v>
      </c>
      <c r="S10" s="10">
        <f t="shared" si="7"/>
        <v>2.9069767441860465E-2</v>
      </c>
      <c r="T10" s="9" t="str">
        <f t="shared" si="8"/>
        <v>P0 Critical</v>
      </c>
      <c r="U10" s="9">
        <v>15</v>
      </c>
      <c r="V10" s="10">
        <f t="shared" si="9"/>
        <v>0.6</v>
      </c>
      <c r="W10" s="9"/>
      <c r="X10" s="10">
        <f t="shared" si="10"/>
        <v>1.6666666666666666E-2</v>
      </c>
      <c r="Y10" s="9" t="str">
        <f t="shared" si="11"/>
        <v>P0 Critical</v>
      </c>
      <c r="Z10" s="7">
        <v>20</v>
      </c>
      <c r="AA10" s="11">
        <f t="shared" si="12"/>
        <v>0</v>
      </c>
    </row>
    <row r="11" spans="1:27" ht="16.5" x14ac:dyDescent="0.55000000000000004">
      <c r="A11" s="6" t="s">
        <v>37</v>
      </c>
      <c r="B11" s="7">
        <f>COUNTIFS($A$2:A11,A11)</f>
        <v>2</v>
      </c>
      <c r="C11" s="7">
        <f t="shared" si="0"/>
        <v>0.25</v>
      </c>
      <c r="D11" s="8">
        <v>46084</v>
      </c>
      <c r="E11" s="8" t="str">
        <f t="shared" si="1"/>
        <v>Tue</v>
      </c>
      <c r="F11" s="8" t="s">
        <v>28</v>
      </c>
      <c r="G11" s="8" t="str">
        <f t="shared" si="2"/>
        <v>Week 1</v>
      </c>
      <c r="H11" s="8" t="str">
        <f t="shared" si="3"/>
        <v>Weekday</v>
      </c>
      <c r="I11" s="8" t="str">
        <f t="shared" si="4"/>
        <v>Mar</v>
      </c>
      <c r="J11" s="9" t="s">
        <v>38</v>
      </c>
      <c r="K11" s="9" t="s">
        <v>39</v>
      </c>
      <c r="L11" s="9" t="s">
        <v>32</v>
      </c>
      <c r="M11" s="7">
        <v>2</v>
      </c>
      <c r="N11" s="9">
        <v>870</v>
      </c>
      <c r="O11" s="9">
        <v>825</v>
      </c>
      <c r="P11" s="10">
        <f t="shared" si="5"/>
        <v>0.94827586206896552</v>
      </c>
      <c r="Q11" s="9" t="str">
        <f t="shared" si="6"/>
        <v>P1 Attention</v>
      </c>
      <c r="R11" s="9">
        <v>30</v>
      </c>
      <c r="S11" s="10">
        <f t="shared" si="7"/>
        <v>3.6363636363636362E-2</v>
      </c>
      <c r="T11" s="9" t="str">
        <f t="shared" si="8"/>
        <v>P2 Observe</v>
      </c>
      <c r="U11" s="9">
        <v>15</v>
      </c>
      <c r="V11" s="10">
        <f t="shared" si="9"/>
        <v>0.5</v>
      </c>
      <c r="W11" s="9"/>
      <c r="X11" s="10">
        <f t="shared" si="10"/>
        <v>1.7241379310344827E-2</v>
      </c>
      <c r="Y11" s="9" t="str">
        <f t="shared" si="11"/>
        <v>P0 Critical</v>
      </c>
      <c r="Z11" s="7">
        <v>29</v>
      </c>
      <c r="AA11" s="11">
        <f t="shared" si="12"/>
        <v>0</v>
      </c>
    </row>
    <row r="12" spans="1:27" ht="16.5" x14ac:dyDescent="0.55000000000000004">
      <c r="A12" s="6" t="s">
        <v>37</v>
      </c>
      <c r="B12" s="7">
        <f>COUNTIFS($A$2:A12,A12)</f>
        <v>3</v>
      </c>
      <c r="C12" s="7">
        <f t="shared" si="0"/>
        <v>0.25</v>
      </c>
      <c r="D12" s="8">
        <v>46084</v>
      </c>
      <c r="E12" s="8" t="str">
        <f t="shared" si="1"/>
        <v>Tue</v>
      </c>
      <c r="F12" s="8" t="s">
        <v>28</v>
      </c>
      <c r="G12" s="8" t="str">
        <f t="shared" si="2"/>
        <v>Week 1</v>
      </c>
      <c r="H12" s="8" t="str">
        <f t="shared" si="3"/>
        <v>Weekday</v>
      </c>
      <c r="I12" s="8" t="str">
        <f t="shared" si="4"/>
        <v>Mar</v>
      </c>
      <c r="J12" s="9" t="s">
        <v>38</v>
      </c>
      <c r="K12" s="9" t="s">
        <v>39</v>
      </c>
      <c r="L12" s="9" t="s">
        <v>33</v>
      </c>
      <c r="M12" s="7">
        <v>3</v>
      </c>
      <c r="N12" s="9">
        <v>885</v>
      </c>
      <c r="O12" s="9">
        <v>840</v>
      </c>
      <c r="P12" s="10">
        <f t="shared" si="5"/>
        <v>0.94915254237288138</v>
      </c>
      <c r="Q12" s="9" t="str">
        <f t="shared" si="6"/>
        <v>P1 Attention</v>
      </c>
      <c r="R12" s="9">
        <v>30</v>
      </c>
      <c r="S12" s="10">
        <f t="shared" si="7"/>
        <v>3.5714285714285712E-2</v>
      </c>
      <c r="T12" s="9" t="str">
        <f t="shared" si="8"/>
        <v>P2 Observe</v>
      </c>
      <c r="U12" s="9">
        <v>15</v>
      </c>
      <c r="V12" s="10">
        <f t="shared" si="9"/>
        <v>0.5</v>
      </c>
      <c r="W12" s="9"/>
      <c r="X12" s="10">
        <f t="shared" si="10"/>
        <v>1.6949152542372881E-2</v>
      </c>
      <c r="Y12" s="9" t="str">
        <f t="shared" si="11"/>
        <v>P0 Critical</v>
      </c>
      <c r="Z12" s="7">
        <v>26</v>
      </c>
      <c r="AA12" s="11">
        <f t="shared" si="12"/>
        <v>0</v>
      </c>
    </row>
    <row r="13" spans="1:27" ht="16.5" x14ac:dyDescent="0.55000000000000004">
      <c r="A13" s="6" t="s">
        <v>37</v>
      </c>
      <c r="B13" s="7">
        <f>COUNTIFS($A$2:A13,A13)</f>
        <v>4</v>
      </c>
      <c r="C13" s="7">
        <f t="shared" si="0"/>
        <v>0.25</v>
      </c>
      <c r="D13" s="8">
        <v>46084</v>
      </c>
      <c r="E13" s="8" t="str">
        <f t="shared" si="1"/>
        <v>Tue</v>
      </c>
      <c r="F13" s="8" t="s">
        <v>28</v>
      </c>
      <c r="G13" s="8" t="str">
        <f t="shared" si="2"/>
        <v>Week 1</v>
      </c>
      <c r="H13" s="8" t="str">
        <f t="shared" si="3"/>
        <v>Weekday</v>
      </c>
      <c r="I13" s="8" t="str">
        <f t="shared" si="4"/>
        <v>Mar</v>
      </c>
      <c r="J13" s="9" t="s">
        <v>38</v>
      </c>
      <c r="K13" s="9" t="s">
        <v>39</v>
      </c>
      <c r="L13" s="9" t="s">
        <v>34</v>
      </c>
      <c r="M13" s="7">
        <v>4</v>
      </c>
      <c r="N13" s="9">
        <v>855</v>
      </c>
      <c r="O13" s="9">
        <v>810</v>
      </c>
      <c r="P13" s="10">
        <f t="shared" si="5"/>
        <v>0.94736842105263153</v>
      </c>
      <c r="Q13" s="9" t="str">
        <f t="shared" si="6"/>
        <v>P1 Attention</v>
      </c>
      <c r="R13" s="9">
        <v>30</v>
      </c>
      <c r="S13" s="10">
        <f t="shared" si="7"/>
        <v>3.7037037037037035E-2</v>
      </c>
      <c r="T13" s="9" t="str">
        <f t="shared" si="8"/>
        <v>P2 Observe</v>
      </c>
      <c r="U13" s="9">
        <v>15</v>
      </c>
      <c r="V13" s="10">
        <f t="shared" si="9"/>
        <v>0.5</v>
      </c>
      <c r="W13" s="9"/>
      <c r="X13" s="10">
        <f t="shared" si="10"/>
        <v>1.7543859649122806E-2</v>
      </c>
      <c r="Y13" s="9" t="str">
        <f t="shared" si="11"/>
        <v>P0 Critical</v>
      </c>
      <c r="Z13" s="7">
        <v>24</v>
      </c>
      <c r="AA13" s="11">
        <f t="shared" si="12"/>
        <v>0</v>
      </c>
    </row>
    <row r="14" spans="1:27" ht="16.5" x14ac:dyDescent="0.55000000000000004">
      <c r="A14" s="12" t="s">
        <v>40</v>
      </c>
      <c r="B14" s="13">
        <f>COUNTIFS($A$2:A14,A14)</f>
        <v>1</v>
      </c>
      <c r="C14" s="13">
        <f t="shared" si="0"/>
        <v>0.25</v>
      </c>
      <c r="D14" s="14">
        <v>46085</v>
      </c>
      <c r="E14" s="14" t="str">
        <f t="shared" si="1"/>
        <v>Wed</v>
      </c>
      <c r="F14" s="14" t="s">
        <v>28</v>
      </c>
      <c r="G14" s="14" t="str">
        <f t="shared" si="2"/>
        <v>Week 1</v>
      </c>
      <c r="H14" s="14" t="str">
        <f t="shared" si="3"/>
        <v>Weekday</v>
      </c>
      <c r="I14" s="14" t="str">
        <f t="shared" si="4"/>
        <v>Mar</v>
      </c>
      <c r="J14" s="15" t="s">
        <v>38</v>
      </c>
      <c r="K14" s="15" t="s">
        <v>39</v>
      </c>
      <c r="L14" s="15" t="s">
        <v>31</v>
      </c>
      <c r="M14" s="13">
        <v>1</v>
      </c>
      <c r="N14" s="15">
        <v>1100</v>
      </c>
      <c r="O14" s="15">
        <v>1060</v>
      </c>
      <c r="P14" s="16">
        <f t="shared" si="5"/>
        <v>0.96363636363636362</v>
      </c>
      <c r="Q14" s="15" t="str">
        <f t="shared" si="6"/>
        <v>P2 Observe</v>
      </c>
      <c r="R14" s="15">
        <v>25</v>
      </c>
      <c r="S14" s="16">
        <f t="shared" si="7"/>
        <v>2.358490566037736E-2</v>
      </c>
      <c r="T14" s="15" t="str">
        <f t="shared" si="8"/>
        <v>P0 Critical</v>
      </c>
      <c r="U14" s="15">
        <v>15</v>
      </c>
      <c r="V14" s="16">
        <f t="shared" si="9"/>
        <v>0.6</v>
      </c>
      <c r="W14" s="15"/>
      <c r="X14" s="16">
        <f t="shared" si="10"/>
        <v>1.3636363636363636E-2</v>
      </c>
      <c r="Y14" s="15" t="str">
        <f t="shared" si="11"/>
        <v>P0 Critical</v>
      </c>
      <c r="Z14" s="13">
        <v>18</v>
      </c>
      <c r="AA14" s="17">
        <f t="shared" si="12"/>
        <v>0</v>
      </c>
    </row>
    <row r="15" spans="1:27" ht="16.5" x14ac:dyDescent="0.55000000000000004">
      <c r="A15" s="12" t="s">
        <v>40</v>
      </c>
      <c r="B15" s="13">
        <f>COUNTIFS($A$2:A15,A15)</f>
        <v>2</v>
      </c>
      <c r="C15" s="13">
        <f t="shared" si="0"/>
        <v>0.25</v>
      </c>
      <c r="D15" s="14">
        <v>46085</v>
      </c>
      <c r="E15" s="14" t="str">
        <f t="shared" si="1"/>
        <v>Wed</v>
      </c>
      <c r="F15" s="14" t="s">
        <v>28</v>
      </c>
      <c r="G15" s="14" t="str">
        <f t="shared" si="2"/>
        <v>Week 1</v>
      </c>
      <c r="H15" s="14" t="str">
        <f t="shared" si="3"/>
        <v>Weekday</v>
      </c>
      <c r="I15" s="14" t="str">
        <f t="shared" si="4"/>
        <v>Mar</v>
      </c>
      <c r="J15" s="15" t="s">
        <v>38</v>
      </c>
      <c r="K15" s="15" t="s">
        <v>39</v>
      </c>
      <c r="L15" s="15" t="s">
        <v>32</v>
      </c>
      <c r="M15" s="13">
        <v>2</v>
      </c>
      <c r="N15" s="15">
        <v>1065</v>
      </c>
      <c r="O15" s="15">
        <v>1010</v>
      </c>
      <c r="P15" s="16">
        <f t="shared" si="5"/>
        <v>0.94835680751173712</v>
      </c>
      <c r="Q15" s="15" t="str">
        <f t="shared" si="6"/>
        <v>P1 Attention</v>
      </c>
      <c r="R15" s="15">
        <v>35</v>
      </c>
      <c r="S15" s="16">
        <f t="shared" si="7"/>
        <v>3.4653465346534656E-2</v>
      </c>
      <c r="T15" s="15" t="str">
        <f t="shared" si="8"/>
        <v>P1 Attention</v>
      </c>
      <c r="U15" s="15">
        <v>20</v>
      </c>
      <c r="V15" s="16">
        <f t="shared" si="9"/>
        <v>0.5714285714285714</v>
      </c>
      <c r="W15" s="15"/>
      <c r="X15" s="16">
        <f t="shared" si="10"/>
        <v>1.8779342723004695E-2</v>
      </c>
      <c r="Y15" s="15" t="str">
        <f t="shared" si="11"/>
        <v>P1 Attention</v>
      </c>
      <c r="Z15" s="13">
        <v>36</v>
      </c>
      <c r="AA15" s="17">
        <f t="shared" si="12"/>
        <v>0</v>
      </c>
    </row>
    <row r="16" spans="1:27" ht="16.5" x14ac:dyDescent="0.55000000000000004">
      <c r="A16" s="12" t="s">
        <v>40</v>
      </c>
      <c r="B16" s="13">
        <f>COUNTIFS($A$2:A16,A16)</f>
        <v>3</v>
      </c>
      <c r="C16" s="13">
        <f t="shared" si="0"/>
        <v>0.25</v>
      </c>
      <c r="D16" s="14">
        <v>46085</v>
      </c>
      <c r="E16" s="14" t="str">
        <f t="shared" si="1"/>
        <v>Wed</v>
      </c>
      <c r="F16" s="14" t="s">
        <v>28</v>
      </c>
      <c r="G16" s="14" t="str">
        <f t="shared" si="2"/>
        <v>Week 1</v>
      </c>
      <c r="H16" s="14" t="str">
        <f t="shared" si="3"/>
        <v>Weekday</v>
      </c>
      <c r="I16" s="14" t="str">
        <f t="shared" si="4"/>
        <v>Mar</v>
      </c>
      <c r="J16" s="15" t="s">
        <v>38</v>
      </c>
      <c r="K16" s="15" t="s">
        <v>39</v>
      </c>
      <c r="L16" s="15" t="s">
        <v>33</v>
      </c>
      <c r="M16" s="13">
        <v>3</v>
      </c>
      <c r="N16" s="15">
        <v>1085</v>
      </c>
      <c r="O16" s="15">
        <v>1030</v>
      </c>
      <c r="P16" s="16">
        <f t="shared" si="5"/>
        <v>0.94930875576036866</v>
      </c>
      <c r="Q16" s="15" t="str">
        <f t="shared" si="6"/>
        <v>P1 Attention</v>
      </c>
      <c r="R16" s="15">
        <v>35</v>
      </c>
      <c r="S16" s="16">
        <f t="shared" si="7"/>
        <v>3.3980582524271843E-2</v>
      </c>
      <c r="T16" s="15" t="str">
        <f t="shared" si="8"/>
        <v>P1 Attention</v>
      </c>
      <c r="U16" s="15">
        <v>20</v>
      </c>
      <c r="V16" s="16">
        <f t="shared" si="9"/>
        <v>0.5714285714285714</v>
      </c>
      <c r="W16" s="15"/>
      <c r="X16" s="16">
        <f t="shared" si="10"/>
        <v>1.8433179723502304E-2</v>
      </c>
      <c r="Y16" s="15" t="str">
        <f t="shared" si="11"/>
        <v>P0 Critical</v>
      </c>
      <c r="Z16" s="13">
        <v>33</v>
      </c>
      <c r="AA16" s="17">
        <f t="shared" si="12"/>
        <v>0</v>
      </c>
    </row>
    <row r="17" spans="1:27" ht="16.5" x14ac:dyDescent="0.55000000000000004">
      <c r="A17" s="12" t="s">
        <v>40</v>
      </c>
      <c r="B17" s="13">
        <f>COUNTIFS($A$2:A17,A17)</f>
        <v>4</v>
      </c>
      <c r="C17" s="13">
        <f t="shared" si="0"/>
        <v>0.25</v>
      </c>
      <c r="D17" s="14">
        <v>46085</v>
      </c>
      <c r="E17" s="14" t="str">
        <f t="shared" si="1"/>
        <v>Wed</v>
      </c>
      <c r="F17" s="14" t="s">
        <v>28</v>
      </c>
      <c r="G17" s="14" t="str">
        <f t="shared" si="2"/>
        <v>Week 1</v>
      </c>
      <c r="H17" s="14" t="str">
        <f t="shared" si="3"/>
        <v>Weekday</v>
      </c>
      <c r="I17" s="14" t="str">
        <f t="shared" si="4"/>
        <v>Mar</v>
      </c>
      <c r="J17" s="15" t="s">
        <v>38</v>
      </c>
      <c r="K17" s="15" t="s">
        <v>39</v>
      </c>
      <c r="L17" s="15" t="s">
        <v>34</v>
      </c>
      <c r="M17" s="13">
        <v>4</v>
      </c>
      <c r="N17" s="15">
        <v>1045</v>
      </c>
      <c r="O17" s="15">
        <v>995</v>
      </c>
      <c r="P17" s="16">
        <f t="shared" si="5"/>
        <v>0.95215311004784686</v>
      </c>
      <c r="Q17" s="15" t="str">
        <f t="shared" si="6"/>
        <v>P2 Observe</v>
      </c>
      <c r="R17" s="15">
        <v>30</v>
      </c>
      <c r="S17" s="16">
        <f t="shared" si="7"/>
        <v>3.015075376884422E-2</v>
      </c>
      <c r="T17" s="15" t="str">
        <f t="shared" si="8"/>
        <v>P0 Critical</v>
      </c>
      <c r="U17" s="15">
        <v>20</v>
      </c>
      <c r="V17" s="16">
        <f t="shared" si="9"/>
        <v>0.66666666666666663</v>
      </c>
      <c r="W17" s="15"/>
      <c r="X17" s="16">
        <f t="shared" si="10"/>
        <v>1.9138755980861243E-2</v>
      </c>
      <c r="Y17" s="15" t="str">
        <f t="shared" si="11"/>
        <v>P1 Attention</v>
      </c>
      <c r="Z17" s="13">
        <v>31</v>
      </c>
      <c r="AA17" s="17">
        <f t="shared" si="12"/>
        <v>0</v>
      </c>
    </row>
    <row r="18" spans="1:27" ht="16.5" x14ac:dyDescent="0.55000000000000004">
      <c r="A18" s="12" t="s">
        <v>41</v>
      </c>
      <c r="B18" s="13">
        <f>COUNTIFS($A$2:A18,A18)</f>
        <v>1</v>
      </c>
      <c r="C18" s="13">
        <f t="shared" si="0"/>
        <v>0.25</v>
      </c>
      <c r="D18" s="14">
        <v>46086</v>
      </c>
      <c r="E18" s="14" t="str">
        <f t="shared" si="1"/>
        <v>Thu</v>
      </c>
      <c r="F18" s="14" t="s">
        <v>28</v>
      </c>
      <c r="G18" s="14" t="str">
        <f t="shared" si="2"/>
        <v>Week 1</v>
      </c>
      <c r="H18" s="14" t="str">
        <f t="shared" si="3"/>
        <v>Weekday</v>
      </c>
      <c r="I18" s="14" t="str">
        <f t="shared" si="4"/>
        <v>Mar</v>
      </c>
      <c r="J18" s="15" t="s">
        <v>42</v>
      </c>
      <c r="K18" s="15" t="s">
        <v>43</v>
      </c>
      <c r="L18" s="15" t="s">
        <v>31</v>
      </c>
      <c r="M18" s="13">
        <v>1</v>
      </c>
      <c r="N18" s="15">
        <v>950</v>
      </c>
      <c r="O18" s="15">
        <v>910</v>
      </c>
      <c r="P18" s="16">
        <f t="shared" si="5"/>
        <v>0.95789473684210524</v>
      </c>
      <c r="Q18" s="15" t="str">
        <f t="shared" si="6"/>
        <v>P2 Observe</v>
      </c>
      <c r="R18" s="15">
        <v>25</v>
      </c>
      <c r="S18" s="16">
        <f t="shared" si="7"/>
        <v>2.7472527472527472E-2</v>
      </c>
      <c r="T18" s="15" t="str">
        <f t="shared" si="8"/>
        <v>P0 Critical</v>
      </c>
      <c r="U18" s="15">
        <v>15</v>
      </c>
      <c r="V18" s="16">
        <f t="shared" si="9"/>
        <v>0.6</v>
      </c>
      <c r="W18" s="15"/>
      <c r="X18" s="16">
        <f t="shared" si="10"/>
        <v>1.5789473684210527E-2</v>
      </c>
      <c r="Y18" s="15" t="str">
        <f t="shared" si="11"/>
        <v>P0 Critical</v>
      </c>
      <c r="Z18" s="13">
        <v>21</v>
      </c>
      <c r="AA18" s="17">
        <f t="shared" si="12"/>
        <v>0</v>
      </c>
    </row>
    <row r="19" spans="1:27" ht="16.5" x14ac:dyDescent="0.55000000000000004">
      <c r="A19" s="12" t="s">
        <v>41</v>
      </c>
      <c r="B19" s="13">
        <f>COUNTIFS($A$2:A19,A19)</f>
        <v>2</v>
      </c>
      <c r="C19" s="13">
        <f t="shared" si="0"/>
        <v>0.25</v>
      </c>
      <c r="D19" s="14">
        <v>46086</v>
      </c>
      <c r="E19" s="14" t="str">
        <f t="shared" si="1"/>
        <v>Thu</v>
      </c>
      <c r="F19" s="14" t="s">
        <v>28</v>
      </c>
      <c r="G19" s="14" t="str">
        <f t="shared" si="2"/>
        <v>Week 1</v>
      </c>
      <c r="H19" s="14" t="str">
        <f t="shared" si="3"/>
        <v>Weekday</v>
      </c>
      <c r="I19" s="14" t="str">
        <f t="shared" si="4"/>
        <v>Mar</v>
      </c>
      <c r="J19" s="15" t="s">
        <v>42</v>
      </c>
      <c r="K19" s="15" t="s">
        <v>43</v>
      </c>
      <c r="L19" s="15" t="s">
        <v>32</v>
      </c>
      <c r="M19" s="13">
        <v>2</v>
      </c>
      <c r="N19" s="15">
        <v>920</v>
      </c>
      <c r="O19" s="15">
        <v>870</v>
      </c>
      <c r="P19" s="16">
        <f t="shared" si="5"/>
        <v>0.94565217391304346</v>
      </c>
      <c r="Q19" s="15" t="str">
        <f t="shared" si="6"/>
        <v>P1 Attention</v>
      </c>
      <c r="R19" s="15">
        <v>35</v>
      </c>
      <c r="S19" s="16">
        <f t="shared" si="7"/>
        <v>4.0229885057471264E-2</v>
      </c>
      <c r="T19" s="15" t="str">
        <f t="shared" si="8"/>
        <v>P2 Observe</v>
      </c>
      <c r="U19" s="15">
        <v>15</v>
      </c>
      <c r="V19" s="16">
        <f t="shared" si="9"/>
        <v>0.42857142857142855</v>
      </c>
      <c r="W19" s="15"/>
      <c r="X19" s="16">
        <f t="shared" si="10"/>
        <v>1.6304347826086956E-2</v>
      </c>
      <c r="Y19" s="15" t="str">
        <f t="shared" si="11"/>
        <v>P0 Critical</v>
      </c>
      <c r="Z19" s="13">
        <v>32</v>
      </c>
      <c r="AA19" s="17">
        <f t="shared" si="12"/>
        <v>0</v>
      </c>
    </row>
    <row r="20" spans="1:27" ht="16.5" x14ac:dyDescent="0.55000000000000004">
      <c r="A20" s="12" t="s">
        <v>41</v>
      </c>
      <c r="B20" s="13">
        <f>COUNTIFS($A$2:A20,A20)</f>
        <v>3</v>
      </c>
      <c r="C20" s="13">
        <f t="shared" si="0"/>
        <v>0.25</v>
      </c>
      <c r="D20" s="14">
        <v>46086</v>
      </c>
      <c r="E20" s="14" t="str">
        <f t="shared" si="1"/>
        <v>Thu</v>
      </c>
      <c r="F20" s="14" t="s">
        <v>28</v>
      </c>
      <c r="G20" s="14" t="str">
        <f t="shared" si="2"/>
        <v>Week 1</v>
      </c>
      <c r="H20" s="14" t="str">
        <f t="shared" si="3"/>
        <v>Weekday</v>
      </c>
      <c r="I20" s="14" t="str">
        <f t="shared" si="4"/>
        <v>Mar</v>
      </c>
      <c r="J20" s="15" t="s">
        <v>42</v>
      </c>
      <c r="K20" s="15" t="s">
        <v>43</v>
      </c>
      <c r="L20" s="15" t="s">
        <v>33</v>
      </c>
      <c r="M20" s="13">
        <v>3</v>
      </c>
      <c r="N20" s="15">
        <v>935</v>
      </c>
      <c r="O20" s="15">
        <v>890</v>
      </c>
      <c r="P20" s="16">
        <f t="shared" si="5"/>
        <v>0.95187165775401072</v>
      </c>
      <c r="Q20" s="15" t="str">
        <f t="shared" si="6"/>
        <v>P2 Observe</v>
      </c>
      <c r="R20" s="15">
        <v>30</v>
      </c>
      <c r="S20" s="16">
        <f t="shared" si="7"/>
        <v>3.3707865168539325E-2</v>
      </c>
      <c r="T20" s="15" t="str">
        <f t="shared" si="8"/>
        <v>P1 Attention</v>
      </c>
      <c r="U20" s="15">
        <v>15</v>
      </c>
      <c r="V20" s="16">
        <f t="shared" si="9"/>
        <v>0.5</v>
      </c>
      <c r="W20" s="15"/>
      <c r="X20" s="16">
        <f t="shared" si="10"/>
        <v>1.6042780748663103E-2</v>
      </c>
      <c r="Y20" s="15" t="str">
        <f t="shared" si="11"/>
        <v>P0 Critical</v>
      </c>
      <c r="Z20" s="13">
        <v>27</v>
      </c>
      <c r="AA20" s="17">
        <f t="shared" si="12"/>
        <v>0</v>
      </c>
    </row>
    <row r="21" spans="1:27" ht="16.5" x14ac:dyDescent="0.55000000000000004">
      <c r="A21" s="12" t="s">
        <v>41</v>
      </c>
      <c r="B21" s="13">
        <f>COUNTIFS($A$2:A21,A21)</f>
        <v>4</v>
      </c>
      <c r="C21" s="13">
        <f t="shared" si="0"/>
        <v>0.25</v>
      </c>
      <c r="D21" s="14">
        <v>46086</v>
      </c>
      <c r="E21" s="14" t="str">
        <f t="shared" si="1"/>
        <v>Thu</v>
      </c>
      <c r="F21" s="14" t="s">
        <v>28</v>
      </c>
      <c r="G21" s="14" t="str">
        <f t="shared" si="2"/>
        <v>Week 1</v>
      </c>
      <c r="H21" s="14" t="str">
        <f t="shared" si="3"/>
        <v>Weekday</v>
      </c>
      <c r="I21" s="14" t="str">
        <f t="shared" si="4"/>
        <v>Mar</v>
      </c>
      <c r="J21" s="15" t="s">
        <v>42</v>
      </c>
      <c r="K21" s="15" t="s">
        <v>43</v>
      </c>
      <c r="L21" s="15" t="s">
        <v>34</v>
      </c>
      <c r="M21" s="13">
        <v>4</v>
      </c>
      <c r="N21" s="15">
        <v>905</v>
      </c>
      <c r="O21" s="15">
        <v>860</v>
      </c>
      <c r="P21" s="16">
        <f t="shared" si="5"/>
        <v>0.95027624309392267</v>
      </c>
      <c r="Q21" s="15" t="str">
        <f t="shared" si="6"/>
        <v>P2 Observe</v>
      </c>
      <c r="R21" s="15">
        <v>30</v>
      </c>
      <c r="S21" s="16">
        <f t="shared" si="7"/>
        <v>3.4883720930232558E-2</v>
      </c>
      <c r="T21" s="15" t="str">
        <f t="shared" si="8"/>
        <v>P1 Attention</v>
      </c>
      <c r="U21" s="15">
        <v>15</v>
      </c>
      <c r="V21" s="16">
        <f t="shared" si="9"/>
        <v>0.5</v>
      </c>
      <c r="W21" s="15"/>
      <c r="X21" s="16">
        <f t="shared" si="10"/>
        <v>1.6574585635359115E-2</v>
      </c>
      <c r="Y21" s="15" t="str">
        <f t="shared" si="11"/>
        <v>P0 Critical</v>
      </c>
      <c r="Z21" s="13">
        <v>26</v>
      </c>
      <c r="AA21" s="17">
        <f t="shared" si="12"/>
        <v>0</v>
      </c>
    </row>
    <row r="22" spans="1:27" ht="16.5" x14ac:dyDescent="0.55000000000000004">
      <c r="A22" s="12" t="s">
        <v>44</v>
      </c>
      <c r="B22" s="13">
        <f>COUNTIFS($A$2:A22,A22)</f>
        <v>1</v>
      </c>
      <c r="C22" s="13">
        <f t="shared" si="0"/>
        <v>0.25</v>
      </c>
      <c r="D22" s="14">
        <v>46087</v>
      </c>
      <c r="E22" s="14" t="str">
        <f t="shared" si="1"/>
        <v>Fri</v>
      </c>
      <c r="F22" s="14" t="s">
        <v>28</v>
      </c>
      <c r="G22" s="14" t="str">
        <f t="shared" si="2"/>
        <v>Week 1</v>
      </c>
      <c r="H22" s="14" t="str">
        <f t="shared" si="3"/>
        <v>Weekday</v>
      </c>
      <c r="I22" s="14" t="str">
        <f t="shared" si="4"/>
        <v>Mar</v>
      </c>
      <c r="J22" s="15" t="s">
        <v>42</v>
      </c>
      <c r="K22" s="15" t="s">
        <v>43</v>
      </c>
      <c r="L22" s="15" t="s">
        <v>31</v>
      </c>
      <c r="M22" s="13">
        <v>1</v>
      </c>
      <c r="N22" s="15">
        <v>1050</v>
      </c>
      <c r="O22" s="15">
        <v>1005</v>
      </c>
      <c r="P22" s="16">
        <f t="shared" si="5"/>
        <v>0.95714285714285718</v>
      </c>
      <c r="Q22" s="15" t="str">
        <f t="shared" si="6"/>
        <v>P2 Observe</v>
      </c>
      <c r="R22" s="15">
        <v>30</v>
      </c>
      <c r="S22" s="16">
        <f t="shared" si="7"/>
        <v>2.9850746268656716E-2</v>
      </c>
      <c r="T22" s="15" t="str">
        <f t="shared" si="8"/>
        <v>P0 Critical</v>
      </c>
      <c r="U22" s="15">
        <v>15</v>
      </c>
      <c r="V22" s="16">
        <f t="shared" si="9"/>
        <v>0.5</v>
      </c>
      <c r="W22" s="15"/>
      <c r="X22" s="16">
        <f t="shared" si="10"/>
        <v>1.4285714285714285E-2</v>
      </c>
      <c r="Y22" s="15" t="str">
        <f t="shared" si="11"/>
        <v>P0 Critical</v>
      </c>
      <c r="Z22" s="13">
        <v>24</v>
      </c>
      <c r="AA22" s="17">
        <f t="shared" si="12"/>
        <v>0</v>
      </c>
    </row>
    <row r="23" spans="1:27" ht="16.5" x14ac:dyDescent="0.55000000000000004">
      <c r="A23" s="12" t="s">
        <v>44</v>
      </c>
      <c r="B23" s="13">
        <f>COUNTIFS($A$2:A23,A23)</f>
        <v>2</v>
      </c>
      <c r="C23" s="13">
        <f t="shared" si="0"/>
        <v>0.25</v>
      </c>
      <c r="D23" s="14">
        <v>46087</v>
      </c>
      <c r="E23" s="14" t="str">
        <f t="shared" si="1"/>
        <v>Fri</v>
      </c>
      <c r="F23" s="14" t="s">
        <v>28</v>
      </c>
      <c r="G23" s="14" t="str">
        <f t="shared" si="2"/>
        <v>Week 1</v>
      </c>
      <c r="H23" s="14" t="str">
        <f t="shared" si="3"/>
        <v>Weekday</v>
      </c>
      <c r="I23" s="14" t="str">
        <f t="shared" si="4"/>
        <v>Mar</v>
      </c>
      <c r="J23" s="15" t="s">
        <v>42</v>
      </c>
      <c r="K23" s="15" t="s">
        <v>43</v>
      </c>
      <c r="L23" s="15" t="s">
        <v>32</v>
      </c>
      <c r="M23" s="13">
        <v>2</v>
      </c>
      <c r="N23" s="15">
        <v>1015</v>
      </c>
      <c r="O23" s="15">
        <v>960</v>
      </c>
      <c r="P23" s="16">
        <f t="shared" si="5"/>
        <v>0.94581280788177335</v>
      </c>
      <c r="Q23" s="15" t="str">
        <f t="shared" si="6"/>
        <v>P1 Attention</v>
      </c>
      <c r="R23" s="15">
        <v>35</v>
      </c>
      <c r="S23" s="16">
        <f t="shared" si="7"/>
        <v>3.6458333333333336E-2</v>
      </c>
      <c r="T23" s="15" t="str">
        <f t="shared" si="8"/>
        <v>P2 Observe</v>
      </c>
      <c r="U23" s="15">
        <v>20</v>
      </c>
      <c r="V23" s="16">
        <f t="shared" si="9"/>
        <v>0.5714285714285714</v>
      </c>
      <c r="W23" s="15"/>
      <c r="X23" s="16">
        <f t="shared" si="10"/>
        <v>1.9704433497536946E-2</v>
      </c>
      <c r="Y23" s="15" t="str">
        <f t="shared" si="11"/>
        <v>P1 Attention</v>
      </c>
      <c r="Z23" s="13">
        <v>34</v>
      </c>
      <c r="AA23" s="17">
        <f t="shared" si="12"/>
        <v>0</v>
      </c>
    </row>
    <row r="24" spans="1:27" ht="16.5" x14ac:dyDescent="0.55000000000000004">
      <c r="A24" s="12" t="s">
        <v>44</v>
      </c>
      <c r="B24" s="13">
        <f>COUNTIFS($A$2:A24,A24)</f>
        <v>3</v>
      </c>
      <c r="C24" s="13">
        <f t="shared" si="0"/>
        <v>0.25</v>
      </c>
      <c r="D24" s="14">
        <v>46087</v>
      </c>
      <c r="E24" s="14" t="str">
        <f t="shared" si="1"/>
        <v>Fri</v>
      </c>
      <c r="F24" s="14" t="s">
        <v>28</v>
      </c>
      <c r="G24" s="14" t="str">
        <f t="shared" si="2"/>
        <v>Week 1</v>
      </c>
      <c r="H24" s="14" t="str">
        <f t="shared" si="3"/>
        <v>Weekday</v>
      </c>
      <c r="I24" s="14" t="str">
        <f t="shared" si="4"/>
        <v>Mar</v>
      </c>
      <c r="J24" s="15" t="s">
        <v>42</v>
      </c>
      <c r="K24" s="15" t="s">
        <v>43</v>
      </c>
      <c r="L24" s="15" t="s">
        <v>33</v>
      </c>
      <c r="M24" s="13">
        <v>3</v>
      </c>
      <c r="N24" s="15">
        <v>1035</v>
      </c>
      <c r="O24" s="15">
        <v>980</v>
      </c>
      <c r="P24" s="16">
        <f t="shared" si="5"/>
        <v>0.9468599033816425</v>
      </c>
      <c r="Q24" s="15" t="str">
        <f t="shared" si="6"/>
        <v>P1 Attention</v>
      </c>
      <c r="R24" s="15">
        <v>35</v>
      </c>
      <c r="S24" s="16">
        <f t="shared" si="7"/>
        <v>3.5714285714285712E-2</v>
      </c>
      <c r="T24" s="15" t="str">
        <f t="shared" si="8"/>
        <v>P2 Observe</v>
      </c>
      <c r="U24" s="15">
        <v>20</v>
      </c>
      <c r="V24" s="16">
        <f t="shared" si="9"/>
        <v>0.5714285714285714</v>
      </c>
      <c r="W24" s="15"/>
      <c r="X24" s="16">
        <f t="shared" si="10"/>
        <v>1.932367149758454E-2</v>
      </c>
      <c r="Y24" s="15" t="str">
        <f t="shared" si="11"/>
        <v>P1 Attention</v>
      </c>
      <c r="Z24" s="13">
        <v>30</v>
      </c>
      <c r="AA24" s="17">
        <f t="shared" si="12"/>
        <v>0</v>
      </c>
    </row>
    <row r="25" spans="1:27" ht="16.5" x14ac:dyDescent="0.55000000000000004">
      <c r="A25" s="12" t="s">
        <v>44</v>
      </c>
      <c r="B25" s="13">
        <f>COUNTIFS($A$2:A25,A25)</f>
        <v>4</v>
      </c>
      <c r="C25" s="13">
        <f t="shared" si="0"/>
        <v>0.25</v>
      </c>
      <c r="D25" s="14">
        <v>46087</v>
      </c>
      <c r="E25" s="14" t="str">
        <f t="shared" si="1"/>
        <v>Fri</v>
      </c>
      <c r="F25" s="14" t="s">
        <v>28</v>
      </c>
      <c r="G25" s="14" t="str">
        <f t="shared" si="2"/>
        <v>Week 1</v>
      </c>
      <c r="H25" s="14" t="str">
        <f t="shared" si="3"/>
        <v>Weekday</v>
      </c>
      <c r="I25" s="14" t="str">
        <f t="shared" si="4"/>
        <v>Mar</v>
      </c>
      <c r="J25" s="15" t="s">
        <v>42</v>
      </c>
      <c r="K25" s="15" t="s">
        <v>43</v>
      </c>
      <c r="L25" s="15" t="s">
        <v>34</v>
      </c>
      <c r="M25" s="13">
        <v>4</v>
      </c>
      <c r="N25" s="15">
        <v>995</v>
      </c>
      <c r="O25" s="15">
        <v>940</v>
      </c>
      <c r="P25" s="16">
        <f t="shared" si="5"/>
        <v>0.94472361809045224</v>
      </c>
      <c r="Q25" s="15" t="str">
        <f t="shared" si="6"/>
        <v>P0 Critical</v>
      </c>
      <c r="R25" s="15">
        <v>35</v>
      </c>
      <c r="S25" s="16">
        <f t="shared" si="7"/>
        <v>3.7234042553191488E-2</v>
      </c>
      <c r="T25" s="15" t="str">
        <f t="shared" si="8"/>
        <v>P2 Observe</v>
      </c>
      <c r="U25" s="15">
        <v>20</v>
      </c>
      <c r="V25" s="16">
        <f t="shared" si="9"/>
        <v>0.5714285714285714</v>
      </c>
      <c r="W25" s="15"/>
      <c r="X25" s="16">
        <f t="shared" si="10"/>
        <v>2.0100502512562814E-2</v>
      </c>
      <c r="Y25" s="15" t="str">
        <f t="shared" si="11"/>
        <v>P2 Observe</v>
      </c>
      <c r="Z25" s="13">
        <v>29</v>
      </c>
      <c r="AA25" s="17">
        <f t="shared" si="12"/>
        <v>0</v>
      </c>
    </row>
    <row r="26" spans="1:27" ht="16.5" x14ac:dyDescent="0.55000000000000004">
      <c r="A26" s="12" t="s">
        <v>45</v>
      </c>
      <c r="B26" s="13">
        <f>COUNTIFS($A$2:A26,A26)</f>
        <v>1</v>
      </c>
      <c r="C26" s="13">
        <f t="shared" si="0"/>
        <v>0.25</v>
      </c>
      <c r="D26" s="14">
        <v>46088</v>
      </c>
      <c r="E26" s="14" t="str">
        <f t="shared" si="1"/>
        <v>Sat</v>
      </c>
      <c r="F26" s="14" t="s">
        <v>28</v>
      </c>
      <c r="G26" s="14" t="str">
        <f t="shared" si="2"/>
        <v>Week 1</v>
      </c>
      <c r="H26" s="14" t="str">
        <f t="shared" si="3"/>
        <v>Weekend</v>
      </c>
      <c r="I26" s="14" t="str">
        <f t="shared" si="4"/>
        <v>Mar</v>
      </c>
      <c r="J26" s="15" t="s">
        <v>29</v>
      </c>
      <c r="K26" s="15" t="s">
        <v>30</v>
      </c>
      <c r="L26" s="15" t="s">
        <v>31</v>
      </c>
      <c r="M26" s="13">
        <v>1</v>
      </c>
      <c r="N26" s="15">
        <v>1150</v>
      </c>
      <c r="O26" s="15">
        <v>1105</v>
      </c>
      <c r="P26" s="16">
        <f t="shared" si="5"/>
        <v>0.96086956521739131</v>
      </c>
      <c r="Q26" s="15" t="str">
        <f t="shared" si="6"/>
        <v>P2 Observe</v>
      </c>
      <c r="R26" s="15">
        <v>30</v>
      </c>
      <c r="S26" s="16">
        <f t="shared" si="7"/>
        <v>2.7149321266968326E-2</v>
      </c>
      <c r="T26" s="15" t="str">
        <f t="shared" si="8"/>
        <v>P0 Critical</v>
      </c>
      <c r="U26" s="15">
        <v>15</v>
      </c>
      <c r="V26" s="16">
        <f t="shared" si="9"/>
        <v>0.5</v>
      </c>
      <c r="W26" s="15"/>
      <c r="X26" s="16">
        <f t="shared" si="10"/>
        <v>1.3043478260869565E-2</v>
      </c>
      <c r="Y26" s="15" t="str">
        <f t="shared" si="11"/>
        <v>P0 Critical</v>
      </c>
      <c r="Z26" s="13">
        <v>23</v>
      </c>
      <c r="AA26" s="17">
        <f t="shared" si="12"/>
        <v>0</v>
      </c>
    </row>
    <row r="27" spans="1:27" ht="16.5" x14ac:dyDescent="0.55000000000000004">
      <c r="A27" s="12" t="s">
        <v>45</v>
      </c>
      <c r="B27" s="13">
        <f>COUNTIFS($A$2:A27,A27)</f>
        <v>2</v>
      </c>
      <c r="C27" s="13">
        <f t="shared" si="0"/>
        <v>0.25</v>
      </c>
      <c r="D27" s="14">
        <v>46088</v>
      </c>
      <c r="E27" s="14" t="str">
        <f t="shared" si="1"/>
        <v>Sat</v>
      </c>
      <c r="F27" s="14" t="s">
        <v>28</v>
      </c>
      <c r="G27" s="14" t="str">
        <f t="shared" si="2"/>
        <v>Week 1</v>
      </c>
      <c r="H27" s="14" t="str">
        <f t="shared" si="3"/>
        <v>Weekend</v>
      </c>
      <c r="I27" s="14" t="str">
        <f t="shared" si="4"/>
        <v>Mar</v>
      </c>
      <c r="J27" s="15" t="s">
        <v>29</v>
      </c>
      <c r="K27" s="15" t="s">
        <v>30</v>
      </c>
      <c r="L27" s="15" t="s">
        <v>32</v>
      </c>
      <c r="M27" s="13">
        <v>2</v>
      </c>
      <c r="N27" s="15">
        <v>1115</v>
      </c>
      <c r="O27" s="15">
        <v>1055</v>
      </c>
      <c r="P27" s="16">
        <f t="shared" si="5"/>
        <v>0.94618834080717484</v>
      </c>
      <c r="Q27" s="15" t="str">
        <f t="shared" si="6"/>
        <v>P1 Attention</v>
      </c>
      <c r="R27" s="15">
        <v>40</v>
      </c>
      <c r="S27" s="16">
        <f t="shared" si="7"/>
        <v>3.7914691943127965E-2</v>
      </c>
      <c r="T27" s="15" t="str">
        <f t="shared" si="8"/>
        <v>P2 Observe</v>
      </c>
      <c r="U27" s="15">
        <v>20</v>
      </c>
      <c r="V27" s="16">
        <f t="shared" si="9"/>
        <v>0.5</v>
      </c>
      <c r="W27" s="15"/>
      <c r="X27" s="16">
        <f t="shared" si="10"/>
        <v>1.7937219730941704E-2</v>
      </c>
      <c r="Y27" s="15" t="str">
        <f t="shared" si="11"/>
        <v>P0 Critical</v>
      </c>
      <c r="Z27" s="13">
        <v>41</v>
      </c>
      <c r="AA27" s="17">
        <f t="shared" si="12"/>
        <v>0</v>
      </c>
    </row>
    <row r="28" spans="1:27" ht="16.5" x14ac:dyDescent="0.55000000000000004">
      <c r="A28" s="12" t="s">
        <v>45</v>
      </c>
      <c r="B28" s="13">
        <f>COUNTIFS($A$2:A28,A28)</f>
        <v>3</v>
      </c>
      <c r="C28" s="13">
        <f t="shared" si="0"/>
        <v>0.25</v>
      </c>
      <c r="D28" s="14">
        <v>46088</v>
      </c>
      <c r="E28" s="14" t="str">
        <f t="shared" si="1"/>
        <v>Sat</v>
      </c>
      <c r="F28" s="14" t="s">
        <v>28</v>
      </c>
      <c r="G28" s="14" t="str">
        <f t="shared" si="2"/>
        <v>Week 1</v>
      </c>
      <c r="H28" s="14" t="str">
        <f t="shared" si="3"/>
        <v>Weekend</v>
      </c>
      <c r="I28" s="14" t="str">
        <f t="shared" si="4"/>
        <v>Mar</v>
      </c>
      <c r="J28" s="15" t="s">
        <v>29</v>
      </c>
      <c r="K28" s="15" t="s">
        <v>30</v>
      </c>
      <c r="L28" s="15" t="s">
        <v>33</v>
      </c>
      <c r="M28" s="13">
        <v>3</v>
      </c>
      <c r="N28" s="15">
        <v>1135</v>
      </c>
      <c r="O28" s="15">
        <v>1080</v>
      </c>
      <c r="P28" s="16">
        <f t="shared" si="5"/>
        <v>0.95154185022026427</v>
      </c>
      <c r="Q28" s="15" t="str">
        <f t="shared" si="6"/>
        <v>P2 Observe</v>
      </c>
      <c r="R28" s="15">
        <v>35</v>
      </c>
      <c r="S28" s="16">
        <f t="shared" si="7"/>
        <v>3.2407407407407406E-2</v>
      </c>
      <c r="T28" s="15" t="str">
        <f t="shared" si="8"/>
        <v>P1 Attention</v>
      </c>
      <c r="U28" s="15">
        <v>20</v>
      </c>
      <c r="V28" s="16">
        <f t="shared" si="9"/>
        <v>0.5714285714285714</v>
      </c>
      <c r="W28" s="15"/>
      <c r="X28" s="16">
        <f t="shared" si="10"/>
        <v>1.7621145374449341E-2</v>
      </c>
      <c r="Y28" s="15" t="str">
        <f t="shared" si="11"/>
        <v>P0 Critical</v>
      </c>
      <c r="Z28" s="13">
        <v>36</v>
      </c>
      <c r="AA28" s="17">
        <f t="shared" si="12"/>
        <v>0</v>
      </c>
    </row>
    <row r="29" spans="1:27" ht="16.5" x14ac:dyDescent="0.55000000000000004">
      <c r="A29" s="12" t="s">
        <v>45</v>
      </c>
      <c r="B29" s="13">
        <f>COUNTIFS($A$2:A29,A29)</f>
        <v>4</v>
      </c>
      <c r="C29" s="13">
        <f t="shared" si="0"/>
        <v>0.25</v>
      </c>
      <c r="D29" s="14">
        <v>46088</v>
      </c>
      <c r="E29" s="14" t="str">
        <f t="shared" si="1"/>
        <v>Sat</v>
      </c>
      <c r="F29" s="14" t="s">
        <v>28</v>
      </c>
      <c r="G29" s="14" t="str">
        <f t="shared" si="2"/>
        <v>Week 1</v>
      </c>
      <c r="H29" s="14" t="str">
        <f t="shared" si="3"/>
        <v>Weekend</v>
      </c>
      <c r="I29" s="14" t="str">
        <f t="shared" si="4"/>
        <v>Mar</v>
      </c>
      <c r="J29" s="15" t="s">
        <v>29</v>
      </c>
      <c r="K29" s="15" t="s">
        <v>30</v>
      </c>
      <c r="L29" s="15" t="s">
        <v>34</v>
      </c>
      <c r="M29" s="13">
        <v>4</v>
      </c>
      <c r="N29" s="15">
        <v>1095</v>
      </c>
      <c r="O29" s="15">
        <v>1040</v>
      </c>
      <c r="P29" s="16">
        <f t="shared" si="5"/>
        <v>0.94977168949771684</v>
      </c>
      <c r="Q29" s="15" t="str">
        <f t="shared" si="6"/>
        <v>P1 Attention</v>
      </c>
      <c r="R29" s="15">
        <v>35</v>
      </c>
      <c r="S29" s="16">
        <f t="shared" si="7"/>
        <v>3.3653846153846152E-2</v>
      </c>
      <c r="T29" s="15" t="str">
        <f t="shared" si="8"/>
        <v>P1 Attention</v>
      </c>
      <c r="U29" s="15">
        <v>20</v>
      </c>
      <c r="V29" s="16">
        <f t="shared" si="9"/>
        <v>0.5714285714285714</v>
      </c>
      <c r="W29" s="15"/>
      <c r="X29" s="16">
        <f t="shared" si="10"/>
        <v>1.8264840182648401E-2</v>
      </c>
      <c r="Y29" s="15" t="str">
        <f t="shared" si="11"/>
        <v>P0 Critical</v>
      </c>
      <c r="Z29" s="13">
        <v>35</v>
      </c>
      <c r="AA29" s="17">
        <f t="shared" si="12"/>
        <v>0</v>
      </c>
    </row>
    <row r="30" spans="1:27" ht="16.5" x14ac:dyDescent="0.55000000000000004">
      <c r="A30" s="12" t="s">
        <v>46</v>
      </c>
      <c r="B30" s="13">
        <f>COUNTIFS($A$2:A30,A30)</f>
        <v>1</v>
      </c>
      <c r="C30" s="13">
        <f t="shared" si="0"/>
        <v>0.25</v>
      </c>
      <c r="D30" s="14">
        <v>46089</v>
      </c>
      <c r="E30" s="14" t="str">
        <f t="shared" si="1"/>
        <v>Sun</v>
      </c>
      <c r="F30" s="14" t="s">
        <v>28</v>
      </c>
      <c r="G30" s="14" t="str">
        <f t="shared" si="2"/>
        <v>Week 2</v>
      </c>
      <c r="H30" s="14" t="str">
        <f t="shared" si="3"/>
        <v>Weekend</v>
      </c>
      <c r="I30" s="14" t="str">
        <f t="shared" si="4"/>
        <v>Mar</v>
      </c>
      <c r="J30" s="15" t="s">
        <v>38</v>
      </c>
      <c r="K30" s="15" t="s">
        <v>39</v>
      </c>
      <c r="L30" s="15" t="s">
        <v>31</v>
      </c>
      <c r="M30" s="13">
        <v>1</v>
      </c>
      <c r="N30" s="15">
        <v>980</v>
      </c>
      <c r="O30" s="15">
        <v>940</v>
      </c>
      <c r="P30" s="16">
        <f t="shared" si="5"/>
        <v>0.95918367346938771</v>
      </c>
      <c r="Q30" s="15" t="str">
        <f t="shared" si="6"/>
        <v>P2 Observe</v>
      </c>
      <c r="R30" s="15">
        <v>25</v>
      </c>
      <c r="S30" s="16">
        <f t="shared" si="7"/>
        <v>2.6595744680851064E-2</v>
      </c>
      <c r="T30" s="15" t="str">
        <f t="shared" si="8"/>
        <v>P0 Critical</v>
      </c>
      <c r="U30" s="15">
        <v>15</v>
      </c>
      <c r="V30" s="16">
        <f t="shared" si="9"/>
        <v>0.6</v>
      </c>
      <c r="W30" s="15"/>
      <c r="X30" s="16">
        <f t="shared" si="10"/>
        <v>1.5306122448979591E-2</v>
      </c>
      <c r="Y30" s="15" t="str">
        <f t="shared" si="11"/>
        <v>P0 Critical</v>
      </c>
      <c r="Z30" s="13">
        <v>19</v>
      </c>
      <c r="AA30" s="17">
        <f t="shared" si="12"/>
        <v>0</v>
      </c>
    </row>
    <row r="31" spans="1:27" ht="16.5" x14ac:dyDescent="0.55000000000000004">
      <c r="A31" s="12" t="s">
        <v>46</v>
      </c>
      <c r="B31" s="13">
        <f>COUNTIFS($A$2:A31,A31)</f>
        <v>2</v>
      </c>
      <c r="C31" s="13">
        <f t="shared" si="0"/>
        <v>0.25</v>
      </c>
      <c r="D31" s="14">
        <v>46089</v>
      </c>
      <c r="E31" s="14" t="str">
        <f t="shared" si="1"/>
        <v>Sun</v>
      </c>
      <c r="F31" s="14" t="s">
        <v>28</v>
      </c>
      <c r="G31" s="14" t="str">
        <f t="shared" si="2"/>
        <v>Week 2</v>
      </c>
      <c r="H31" s="14" t="str">
        <f t="shared" si="3"/>
        <v>Weekend</v>
      </c>
      <c r="I31" s="14" t="str">
        <f t="shared" si="4"/>
        <v>Mar</v>
      </c>
      <c r="J31" s="15" t="s">
        <v>38</v>
      </c>
      <c r="K31" s="15" t="s">
        <v>39</v>
      </c>
      <c r="L31" s="15" t="s">
        <v>32</v>
      </c>
      <c r="M31" s="13">
        <v>2</v>
      </c>
      <c r="N31" s="15">
        <v>945</v>
      </c>
      <c r="O31" s="15">
        <v>895</v>
      </c>
      <c r="P31" s="16">
        <f t="shared" si="5"/>
        <v>0.94708994708994709</v>
      </c>
      <c r="Q31" s="15" t="str">
        <f t="shared" si="6"/>
        <v>P1 Attention</v>
      </c>
      <c r="R31" s="15">
        <v>35</v>
      </c>
      <c r="S31" s="16">
        <f t="shared" si="7"/>
        <v>3.9106145251396648E-2</v>
      </c>
      <c r="T31" s="15" t="str">
        <f t="shared" si="8"/>
        <v>P2 Observe</v>
      </c>
      <c r="U31" s="15">
        <v>15</v>
      </c>
      <c r="V31" s="16">
        <f t="shared" si="9"/>
        <v>0.42857142857142855</v>
      </c>
      <c r="W31" s="15"/>
      <c r="X31" s="16">
        <f t="shared" si="10"/>
        <v>1.5873015873015872E-2</v>
      </c>
      <c r="Y31" s="15" t="str">
        <f t="shared" si="11"/>
        <v>P0 Critical</v>
      </c>
      <c r="Z31" s="13">
        <v>33</v>
      </c>
      <c r="AA31" s="17">
        <f t="shared" si="12"/>
        <v>0</v>
      </c>
    </row>
    <row r="32" spans="1:27" ht="16.5" x14ac:dyDescent="0.55000000000000004">
      <c r="A32" s="12" t="s">
        <v>46</v>
      </c>
      <c r="B32" s="13">
        <f>COUNTIFS($A$2:A32,A32)</f>
        <v>3</v>
      </c>
      <c r="C32" s="13">
        <f t="shared" si="0"/>
        <v>0.25</v>
      </c>
      <c r="D32" s="14">
        <v>46089</v>
      </c>
      <c r="E32" s="14" t="str">
        <f t="shared" si="1"/>
        <v>Sun</v>
      </c>
      <c r="F32" s="14" t="s">
        <v>28</v>
      </c>
      <c r="G32" s="14" t="str">
        <f t="shared" si="2"/>
        <v>Week 2</v>
      </c>
      <c r="H32" s="14" t="str">
        <f t="shared" si="3"/>
        <v>Weekend</v>
      </c>
      <c r="I32" s="14" t="str">
        <f t="shared" si="4"/>
        <v>Mar</v>
      </c>
      <c r="J32" s="15" t="s">
        <v>38</v>
      </c>
      <c r="K32" s="15" t="s">
        <v>39</v>
      </c>
      <c r="L32" s="15" t="s">
        <v>33</v>
      </c>
      <c r="M32" s="13">
        <v>3</v>
      </c>
      <c r="N32" s="15">
        <v>965</v>
      </c>
      <c r="O32" s="15">
        <v>915</v>
      </c>
      <c r="P32" s="16">
        <f t="shared" si="5"/>
        <v>0.94818652849740936</v>
      </c>
      <c r="Q32" s="15" t="str">
        <f t="shared" si="6"/>
        <v>P1 Attention</v>
      </c>
      <c r="R32" s="15">
        <v>30</v>
      </c>
      <c r="S32" s="16">
        <f t="shared" si="7"/>
        <v>3.2786885245901641E-2</v>
      </c>
      <c r="T32" s="15" t="str">
        <f t="shared" si="8"/>
        <v>P1 Attention</v>
      </c>
      <c r="U32" s="15">
        <v>20</v>
      </c>
      <c r="V32" s="16">
        <f t="shared" si="9"/>
        <v>0.66666666666666663</v>
      </c>
      <c r="W32" s="15"/>
      <c r="X32" s="16">
        <f t="shared" si="10"/>
        <v>2.072538860103627E-2</v>
      </c>
      <c r="Y32" s="15" t="str">
        <f t="shared" si="11"/>
        <v>P2 Observe</v>
      </c>
      <c r="Z32" s="13">
        <v>28</v>
      </c>
      <c r="AA32" s="17">
        <f t="shared" si="12"/>
        <v>0</v>
      </c>
    </row>
    <row r="33" spans="1:27" ht="16.5" x14ac:dyDescent="0.55000000000000004">
      <c r="A33" s="12" t="s">
        <v>46</v>
      </c>
      <c r="B33" s="13">
        <f>COUNTIFS($A$2:A33,A33)</f>
        <v>4</v>
      </c>
      <c r="C33" s="13">
        <f t="shared" si="0"/>
        <v>0.25</v>
      </c>
      <c r="D33" s="14">
        <v>46089</v>
      </c>
      <c r="E33" s="14" t="str">
        <f t="shared" si="1"/>
        <v>Sun</v>
      </c>
      <c r="F33" s="14" t="s">
        <v>28</v>
      </c>
      <c r="G33" s="14" t="str">
        <f t="shared" si="2"/>
        <v>Week 2</v>
      </c>
      <c r="H33" s="14" t="str">
        <f t="shared" si="3"/>
        <v>Weekend</v>
      </c>
      <c r="I33" s="14" t="str">
        <f t="shared" si="4"/>
        <v>Mar</v>
      </c>
      <c r="J33" s="15" t="s">
        <v>38</v>
      </c>
      <c r="K33" s="15" t="s">
        <v>39</v>
      </c>
      <c r="L33" s="15" t="s">
        <v>34</v>
      </c>
      <c r="M33" s="13">
        <v>4</v>
      </c>
      <c r="N33" s="15">
        <v>930</v>
      </c>
      <c r="O33" s="15">
        <v>880</v>
      </c>
      <c r="P33" s="16">
        <f t="shared" si="5"/>
        <v>0.94623655913978499</v>
      </c>
      <c r="Q33" s="15" t="str">
        <f t="shared" si="6"/>
        <v>P1 Attention</v>
      </c>
      <c r="R33" s="15">
        <v>30</v>
      </c>
      <c r="S33" s="16">
        <f t="shared" si="7"/>
        <v>3.4090909090909088E-2</v>
      </c>
      <c r="T33" s="15" t="str">
        <f t="shared" si="8"/>
        <v>P1 Attention</v>
      </c>
      <c r="U33" s="15">
        <v>20</v>
      </c>
      <c r="V33" s="16">
        <f t="shared" si="9"/>
        <v>0.66666666666666663</v>
      </c>
      <c r="W33" s="15"/>
      <c r="X33" s="16">
        <f t="shared" si="10"/>
        <v>2.1505376344086023E-2</v>
      </c>
      <c r="Y33" s="15" t="str">
        <f t="shared" si="11"/>
        <v>P2 Observe</v>
      </c>
      <c r="Z33" s="13">
        <v>27</v>
      </c>
      <c r="AA33" s="17">
        <f t="shared" si="12"/>
        <v>0</v>
      </c>
    </row>
    <row r="34" spans="1:27" ht="16.5" x14ac:dyDescent="0.55000000000000004">
      <c r="A34" s="12" t="s">
        <v>47</v>
      </c>
      <c r="B34" s="13">
        <f>COUNTIFS($A$2:A34,A34)</f>
        <v>1</v>
      </c>
      <c r="C34" s="13">
        <f t="shared" si="0"/>
        <v>0.25</v>
      </c>
      <c r="D34" s="14">
        <v>46090</v>
      </c>
      <c r="E34" s="14" t="str">
        <f t="shared" si="1"/>
        <v>Mon</v>
      </c>
      <c r="F34" s="14" t="s">
        <v>28</v>
      </c>
      <c r="G34" s="14" t="str">
        <f t="shared" si="2"/>
        <v>Week 2</v>
      </c>
      <c r="H34" s="14" t="str">
        <f t="shared" si="3"/>
        <v>Weekday</v>
      </c>
      <c r="I34" s="14" t="str">
        <f t="shared" si="4"/>
        <v>Mar</v>
      </c>
      <c r="J34" s="15" t="s">
        <v>42</v>
      </c>
      <c r="K34" s="15" t="s">
        <v>43</v>
      </c>
      <c r="L34" s="15" t="s">
        <v>31</v>
      </c>
      <c r="M34" s="13">
        <v>1</v>
      </c>
      <c r="N34" s="15">
        <v>1020</v>
      </c>
      <c r="O34" s="15">
        <v>975</v>
      </c>
      <c r="P34" s="16">
        <f t="shared" si="5"/>
        <v>0.95588235294117652</v>
      </c>
      <c r="Q34" s="15" t="str">
        <f t="shared" si="6"/>
        <v>P2 Observe</v>
      </c>
      <c r="R34" s="15">
        <v>30</v>
      </c>
      <c r="S34" s="16">
        <f t="shared" si="7"/>
        <v>3.0769230769230771E-2</v>
      </c>
      <c r="T34" s="15" t="str">
        <f t="shared" si="8"/>
        <v>P0 Critical</v>
      </c>
      <c r="U34" s="15">
        <v>15</v>
      </c>
      <c r="V34" s="16">
        <f t="shared" si="9"/>
        <v>0.5</v>
      </c>
      <c r="W34" s="15"/>
      <c r="X34" s="16">
        <f t="shared" si="10"/>
        <v>1.4705882352941176E-2</v>
      </c>
      <c r="Y34" s="15" t="str">
        <f t="shared" si="11"/>
        <v>P0 Critical</v>
      </c>
      <c r="Z34" s="13">
        <v>22</v>
      </c>
      <c r="AA34" s="17">
        <f t="shared" si="12"/>
        <v>0</v>
      </c>
    </row>
    <row r="35" spans="1:27" ht="16.5" x14ac:dyDescent="0.55000000000000004">
      <c r="A35" s="12" t="s">
        <v>47</v>
      </c>
      <c r="B35" s="13">
        <f>COUNTIFS($A$2:A35,A35)</f>
        <v>2</v>
      </c>
      <c r="C35" s="13">
        <f t="shared" si="0"/>
        <v>0.25</v>
      </c>
      <c r="D35" s="14">
        <v>46090</v>
      </c>
      <c r="E35" s="14" t="str">
        <f t="shared" si="1"/>
        <v>Mon</v>
      </c>
      <c r="F35" s="14" t="s">
        <v>28</v>
      </c>
      <c r="G35" s="14" t="str">
        <f t="shared" si="2"/>
        <v>Week 2</v>
      </c>
      <c r="H35" s="14" t="str">
        <f t="shared" si="3"/>
        <v>Weekday</v>
      </c>
      <c r="I35" s="14" t="str">
        <f t="shared" si="4"/>
        <v>Mar</v>
      </c>
      <c r="J35" s="15" t="s">
        <v>42</v>
      </c>
      <c r="K35" s="15" t="s">
        <v>43</v>
      </c>
      <c r="L35" s="15" t="s">
        <v>32</v>
      </c>
      <c r="M35" s="13">
        <v>2</v>
      </c>
      <c r="N35" s="15">
        <v>985</v>
      </c>
      <c r="O35" s="15">
        <v>930</v>
      </c>
      <c r="P35" s="16">
        <f t="shared" si="5"/>
        <v>0.9441624365482234</v>
      </c>
      <c r="Q35" s="15" t="str">
        <f t="shared" si="6"/>
        <v>P0 Critical</v>
      </c>
      <c r="R35" s="15">
        <v>35</v>
      </c>
      <c r="S35" s="16">
        <f t="shared" si="7"/>
        <v>3.7634408602150539E-2</v>
      </c>
      <c r="T35" s="15" t="str">
        <f t="shared" si="8"/>
        <v>P2 Observe</v>
      </c>
      <c r="U35" s="15">
        <v>20</v>
      </c>
      <c r="V35" s="16">
        <f t="shared" si="9"/>
        <v>0.5714285714285714</v>
      </c>
      <c r="W35" s="15"/>
      <c r="X35" s="16">
        <f t="shared" si="10"/>
        <v>2.030456852791878E-2</v>
      </c>
      <c r="Y35" s="15" t="str">
        <f t="shared" si="11"/>
        <v>P2 Observe</v>
      </c>
      <c r="Z35" s="13">
        <v>35</v>
      </c>
      <c r="AA35" s="17">
        <f t="shared" si="12"/>
        <v>0</v>
      </c>
    </row>
    <row r="36" spans="1:27" ht="16.5" x14ac:dyDescent="0.55000000000000004">
      <c r="A36" s="12" t="s">
        <v>47</v>
      </c>
      <c r="B36" s="13">
        <f>COUNTIFS($A$2:A36,A36)</f>
        <v>3</v>
      </c>
      <c r="C36" s="13">
        <f t="shared" si="0"/>
        <v>0.25</v>
      </c>
      <c r="D36" s="14">
        <v>46090</v>
      </c>
      <c r="E36" s="14" t="str">
        <f t="shared" si="1"/>
        <v>Mon</v>
      </c>
      <c r="F36" s="14" t="s">
        <v>28</v>
      </c>
      <c r="G36" s="14" t="str">
        <f t="shared" si="2"/>
        <v>Week 2</v>
      </c>
      <c r="H36" s="14" t="str">
        <f t="shared" si="3"/>
        <v>Weekday</v>
      </c>
      <c r="I36" s="14" t="str">
        <f t="shared" si="4"/>
        <v>Mar</v>
      </c>
      <c r="J36" s="15" t="s">
        <v>42</v>
      </c>
      <c r="K36" s="15" t="s">
        <v>43</v>
      </c>
      <c r="L36" s="15" t="s">
        <v>33</v>
      </c>
      <c r="M36" s="13">
        <v>3</v>
      </c>
      <c r="N36" s="15">
        <v>1005</v>
      </c>
      <c r="O36" s="15">
        <v>950</v>
      </c>
      <c r="P36" s="16">
        <f t="shared" si="5"/>
        <v>0.94527363184079605</v>
      </c>
      <c r="Q36" s="15" t="str">
        <f t="shared" si="6"/>
        <v>P0 Critical</v>
      </c>
      <c r="R36" s="15">
        <v>35</v>
      </c>
      <c r="S36" s="16">
        <f t="shared" si="7"/>
        <v>3.6842105263157891E-2</v>
      </c>
      <c r="T36" s="15" t="str">
        <f t="shared" si="8"/>
        <v>P2 Observe</v>
      </c>
      <c r="U36" s="15">
        <v>20</v>
      </c>
      <c r="V36" s="16">
        <f t="shared" si="9"/>
        <v>0.5714285714285714</v>
      </c>
      <c r="W36" s="15"/>
      <c r="X36" s="16">
        <f t="shared" si="10"/>
        <v>1.9900497512437811E-2</v>
      </c>
      <c r="Y36" s="15" t="str">
        <f t="shared" si="11"/>
        <v>P1 Attention</v>
      </c>
      <c r="Z36" s="13">
        <v>31</v>
      </c>
      <c r="AA36" s="17">
        <f t="shared" si="12"/>
        <v>0</v>
      </c>
    </row>
    <row r="37" spans="1:27" ht="16.5" x14ac:dyDescent="0.55000000000000004">
      <c r="A37" s="12" t="s">
        <v>47</v>
      </c>
      <c r="B37" s="13">
        <f>COUNTIFS($A$2:A37,A37)</f>
        <v>4</v>
      </c>
      <c r="C37" s="13">
        <f t="shared" si="0"/>
        <v>0.25</v>
      </c>
      <c r="D37" s="14">
        <v>46090</v>
      </c>
      <c r="E37" s="14" t="str">
        <f t="shared" si="1"/>
        <v>Mon</v>
      </c>
      <c r="F37" s="14" t="s">
        <v>28</v>
      </c>
      <c r="G37" s="14" t="str">
        <f t="shared" si="2"/>
        <v>Week 2</v>
      </c>
      <c r="H37" s="14" t="str">
        <f t="shared" si="3"/>
        <v>Weekday</v>
      </c>
      <c r="I37" s="14" t="str">
        <f t="shared" si="4"/>
        <v>Mar</v>
      </c>
      <c r="J37" s="15" t="s">
        <v>42</v>
      </c>
      <c r="K37" s="15" t="s">
        <v>43</v>
      </c>
      <c r="L37" s="15" t="s">
        <v>34</v>
      </c>
      <c r="M37" s="13">
        <v>4</v>
      </c>
      <c r="N37" s="15">
        <v>965</v>
      </c>
      <c r="O37" s="15">
        <v>910</v>
      </c>
      <c r="P37" s="16">
        <f t="shared" si="5"/>
        <v>0.94300518134715028</v>
      </c>
      <c r="Q37" s="15" t="str">
        <f t="shared" si="6"/>
        <v>P0 Critical</v>
      </c>
      <c r="R37" s="15">
        <v>35</v>
      </c>
      <c r="S37" s="16">
        <f t="shared" si="7"/>
        <v>3.8461538461538464E-2</v>
      </c>
      <c r="T37" s="15" t="str">
        <f t="shared" si="8"/>
        <v>P2 Observe</v>
      </c>
      <c r="U37" s="15">
        <v>20</v>
      </c>
      <c r="V37" s="16">
        <f t="shared" si="9"/>
        <v>0.5714285714285714</v>
      </c>
      <c r="W37" s="15"/>
      <c r="X37" s="16">
        <f t="shared" si="10"/>
        <v>2.072538860103627E-2</v>
      </c>
      <c r="Y37" s="15" t="str">
        <f t="shared" si="11"/>
        <v>P2 Observe</v>
      </c>
      <c r="Z37" s="13">
        <v>30</v>
      </c>
      <c r="AA37" s="17">
        <f t="shared" si="12"/>
        <v>0</v>
      </c>
    </row>
    <row r="38" spans="1:27" ht="16.5" x14ac:dyDescent="0.55000000000000004">
      <c r="A38" s="12" t="s">
        <v>48</v>
      </c>
      <c r="B38" s="13">
        <f>COUNTIFS($A$2:A38,A38)</f>
        <v>1</v>
      </c>
      <c r="C38" s="13">
        <f t="shared" si="0"/>
        <v>0.25</v>
      </c>
      <c r="D38" s="14">
        <v>46091</v>
      </c>
      <c r="E38" s="14" t="str">
        <f t="shared" si="1"/>
        <v>Tue</v>
      </c>
      <c r="F38" s="14" t="s">
        <v>28</v>
      </c>
      <c r="G38" s="14" t="str">
        <f t="shared" si="2"/>
        <v>Week 2</v>
      </c>
      <c r="H38" s="14" t="str">
        <f t="shared" si="3"/>
        <v>Weekday</v>
      </c>
      <c r="I38" s="14" t="str">
        <f t="shared" si="4"/>
        <v>Mar</v>
      </c>
      <c r="J38" s="15" t="s">
        <v>29</v>
      </c>
      <c r="K38" s="15" t="s">
        <v>30</v>
      </c>
      <c r="L38" s="15" t="s">
        <v>31</v>
      </c>
      <c r="M38" s="13">
        <v>1</v>
      </c>
      <c r="N38" s="15">
        <v>1080</v>
      </c>
      <c r="O38" s="15">
        <v>1035</v>
      </c>
      <c r="P38" s="16">
        <f t="shared" si="5"/>
        <v>0.95833333333333337</v>
      </c>
      <c r="Q38" s="15" t="str">
        <f t="shared" si="6"/>
        <v>P2 Observe</v>
      </c>
      <c r="R38" s="15">
        <v>30</v>
      </c>
      <c r="S38" s="16">
        <f t="shared" si="7"/>
        <v>2.8985507246376812E-2</v>
      </c>
      <c r="T38" s="15" t="str">
        <f t="shared" si="8"/>
        <v>P0 Critical</v>
      </c>
      <c r="U38" s="15">
        <v>15</v>
      </c>
      <c r="V38" s="16">
        <f t="shared" si="9"/>
        <v>0.5</v>
      </c>
      <c r="W38" s="15"/>
      <c r="X38" s="16">
        <f t="shared" si="10"/>
        <v>1.3888888888888888E-2</v>
      </c>
      <c r="Y38" s="15" t="str">
        <f t="shared" si="11"/>
        <v>P0 Critical</v>
      </c>
      <c r="Z38" s="13">
        <v>21</v>
      </c>
      <c r="AA38" s="17">
        <f t="shared" si="12"/>
        <v>0</v>
      </c>
    </row>
    <row r="39" spans="1:27" ht="16.5" x14ac:dyDescent="0.55000000000000004">
      <c r="A39" s="12" t="s">
        <v>48</v>
      </c>
      <c r="B39" s="13">
        <f>COUNTIFS($A$2:A39,A39)</f>
        <v>2</v>
      </c>
      <c r="C39" s="13">
        <f t="shared" si="0"/>
        <v>0.25</v>
      </c>
      <c r="D39" s="14">
        <v>46091</v>
      </c>
      <c r="E39" s="14" t="str">
        <f t="shared" si="1"/>
        <v>Tue</v>
      </c>
      <c r="F39" s="14" t="s">
        <v>28</v>
      </c>
      <c r="G39" s="14" t="str">
        <f t="shared" si="2"/>
        <v>Week 2</v>
      </c>
      <c r="H39" s="14" t="str">
        <f t="shared" si="3"/>
        <v>Weekday</v>
      </c>
      <c r="I39" s="14" t="str">
        <f t="shared" si="4"/>
        <v>Mar</v>
      </c>
      <c r="J39" s="15" t="s">
        <v>29</v>
      </c>
      <c r="K39" s="15" t="s">
        <v>30</v>
      </c>
      <c r="L39" s="15" t="s">
        <v>32</v>
      </c>
      <c r="M39" s="13">
        <v>2</v>
      </c>
      <c r="N39" s="15">
        <v>1045</v>
      </c>
      <c r="O39" s="15">
        <v>990</v>
      </c>
      <c r="P39" s="16">
        <f t="shared" si="5"/>
        <v>0.94736842105263153</v>
      </c>
      <c r="Q39" s="15" t="str">
        <f t="shared" si="6"/>
        <v>P1 Attention</v>
      </c>
      <c r="R39" s="15">
        <v>35</v>
      </c>
      <c r="S39" s="16">
        <f t="shared" si="7"/>
        <v>3.5353535353535352E-2</v>
      </c>
      <c r="T39" s="15" t="str">
        <f t="shared" si="8"/>
        <v>P2 Observe</v>
      </c>
      <c r="U39" s="15">
        <v>20</v>
      </c>
      <c r="V39" s="16">
        <f t="shared" si="9"/>
        <v>0.5714285714285714</v>
      </c>
      <c r="W39" s="15"/>
      <c r="X39" s="16">
        <f t="shared" si="10"/>
        <v>1.9138755980861243E-2</v>
      </c>
      <c r="Y39" s="15" t="str">
        <f t="shared" si="11"/>
        <v>P1 Attention</v>
      </c>
      <c r="Z39" s="13">
        <v>37</v>
      </c>
      <c r="AA39" s="17">
        <f t="shared" si="12"/>
        <v>0</v>
      </c>
    </row>
    <row r="40" spans="1:27" ht="16.5" x14ac:dyDescent="0.55000000000000004">
      <c r="A40" s="12" t="s">
        <v>48</v>
      </c>
      <c r="B40" s="13">
        <f>COUNTIFS($A$2:A40,A40)</f>
        <v>3</v>
      </c>
      <c r="C40" s="13">
        <f t="shared" si="0"/>
        <v>0.25</v>
      </c>
      <c r="D40" s="14">
        <v>46091</v>
      </c>
      <c r="E40" s="14" t="str">
        <f t="shared" si="1"/>
        <v>Tue</v>
      </c>
      <c r="F40" s="14" t="s">
        <v>28</v>
      </c>
      <c r="G40" s="14" t="str">
        <f t="shared" si="2"/>
        <v>Week 2</v>
      </c>
      <c r="H40" s="14" t="str">
        <f t="shared" si="3"/>
        <v>Weekday</v>
      </c>
      <c r="I40" s="14" t="str">
        <f t="shared" si="4"/>
        <v>Mar</v>
      </c>
      <c r="J40" s="15" t="s">
        <v>29</v>
      </c>
      <c r="K40" s="15" t="s">
        <v>30</v>
      </c>
      <c r="L40" s="15" t="s">
        <v>33</v>
      </c>
      <c r="M40" s="13">
        <v>3</v>
      </c>
      <c r="N40" s="15">
        <v>1065</v>
      </c>
      <c r="O40" s="15">
        <v>1010</v>
      </c>
      <c r="P40" s="16">
        <f t="shared" si="5"/>
        <v>0.94835680751173712</v>
      </c>
      <c r="Q40" s="15" t="str">
        <f t="shared" si="6"/>
        <v>P1 Attention</v>
      </c>
      <c r="R40" s="15">
        <v>35</v>
      </c>
      <c r="S40" s="16">
        <f t="shared" si="7"/>
        <v>3.4653465346534656E-2</v>
      </c>
      <c r="T40" s="15" t="str">
        <f t="shared" si="8"/>
        <v>P1 Attention</v>
      </c>
      <c r="U40" s="15">
        <v>20</v>
      </c>
      <c r="V40" s="16">
        <f t="shared" si="9"/>
        <v>0.5714285714285714</v>
      </c>
      <c r="W40" s="15"/>
      <c r="X40" s="16">
        <f t="shared" si="10"/>
        <v>1.8779342723004695E-2</v>
      </c>
      <c r="Y40" s="15" t="str">
        <f t="shared" si="11"/>
        <v>P1 Attention</v>
      </c>
      <c r="Z40" s="13">
        <v>33</v>
      </c>
      <c r="AA40" s="17">
        <f t="shared" si="12"/>
        <v>0</v>
      </c>
    </row>
    <row r="41" spans="1:27" ht="16.5" x14ac:dyDescent="0.55000000000000004">
      <c r="A41" s="12" t="s">
        <v>48</v>
      </c>
      <c r="B41" s="13">
        <f>COUNTIFS($A$2:A41,A41)</f>
        <v>4</v>
      </c>
      <c r="C41" s="13">
        <f t="shared" si="0"/>
        <v>0.25</v>
      </c>
      <c r="D41" s="14">
        <v>46091</v>
      </c>
      <c r="E41" s="14" t="str">
        <f t="shared" si="1"/>
        <v>Tue</v>
      </c>
      <c r="F41" s="14" t="s">
        <v>28</v>
      </c>
      <c r="G41" s="14" t="str">
        <f t="shared" si="2"/>
        <v>Week 2</v>
      </c>
      <c r="H41" s="14" t="str">
        <f t="shared" si="3"/>
        <v>Weekday</v>
      </c>
      <c r="I41" s="14" t="str">
        <f t="shared" si="4"/>
        <v>Mar</v>
      </c>
      <c r="J41" s="15" t="s">
        <v>29</v>
      </c>
      <c r="K41" s="15" t="s">
        <v>30</v>
      </c>
      <c r="L41" s="15" t="s">
        <v>34</v>
      </c>
      <c r="M41" s="13">
        <v>4</v>
      </c>
      <c r="N41" s="15">
        <v>1025</v>
      </c>
      <c r="O41" s="15">
        <v>970</v>
      </c>
      <c r="P41" s="16">
        <f t="shared" si="5"/>
        <v>0.9463414634146341</v>
      </c>
      <c r="Q41" s="15" t="str">
        <f t="shared" si="6"/>
        <v>P1 Attention</v>
      </c>
      <c r="R41" s="15">
        <v>35</v>
      </c>
      <c r="S41" s="16">
        <f t="shared" si="7"/>
        <v>3.608247422680412E-2</v>
      </c>
      <c r="T41" s="15" t="str">
        <f t="shared" si="8"/>
        <v>P2 Observe</v>
      </c>
      <c r="U41" s="15">
        <v>20</v>
      </c>
      <c r="V41" s="16">
        <f t="shared" si="9"/>
        <v>0.5714285714285714</v>
      </c>
      <c r="W41" s="15"/>
      <c r="X41" s="16">
        <f t="shared" si="10"/>
        <v>1.9512195121951219E-2</v>
      </c>
      <c r="Y41" s="15" t="str">
        <f t="shared" si="11"/>
        <v>P1 Attention</v>
      </c>
      <c r="Z41" s="13">
        <v>29</v>
      </c>
      <c r="AA41" s="17">
        <f t="shared" si="12"/>
        <v>0</v>
      </c>
    </row>
    <row r="42" spans="1:27" ht="16.5" x14ac:dyDescent="0.55000000000000004">
      <c r="A42" s="12" t="s">
        <v>49</v>
      </c>
      <c r="B42" s="13">
        <f>COUNTIFS($A$2:A42,A42)</f>
        <v>1</v>
      </c>
      <c r="C42" s="13">
        <f t="shared" si="0"/>
        <v>0.25</v>
      </c>
      <c r="D42" s="14">
        <v>46092</v>
      </c>
      <c r="E42" s="14" t="str">
        <f t="shared" si="1"/>
        <v>Wed</v>
      </c>
      <c r="F42" s="14" t="s">
        <v>28</v>
      </c>
      <c r="G42" s="14" t="str">
        <f t="shared" si="2"/>
        <v>Week 2</v>
      </c>
      <c r="H42" s="14" t="str">
        <f t="shared" si="3"/>
        <v>Weekday</v>
      </c>
      <c r="I42" s="14" t="str">
        <f t="shared" si="4"/>
        <v>Mar</v>
      </c>
      <c r="J42" s="15" t="s">
        <v>38</v>
      </c>
      <c r="K42" s="15" t="s">
        <v>39</v>
      </c>
      <c r="L42" s="15" t="s">
        <v>31</v>
      </c>
      <c r="M42" s="13">
        <v>1</v>
      </c>
      <c r="N42" s="15">
        <v>970</v>
      </c>
      <c r="O42" s="15">
        <v>930</v>
      </c>
      <c r="P42" s="16">
        <f t="shared" si="5"/>
        <v>0.95876288659793818</v>
      </c>
      <c r="Q42" s="15" t="str">
        <f t="shared" si="6"/>
        <v>P2 Observe</v>
      </c>
      <c r="R42" s="15">
        <v>25</v>
      </c>
      <c r="S42" s="16">
        <f t="shared" si="7"/>
        <v>2.6881720430107527E-2</v>
      </c>
      <c r="T42" s="15" t="str">
        <f t="shared" si="8"/>
        <v>P0 Critical</v>
      </c>
      <c r="U42" s="15">
        <v>15</v>
      </c>
      <c r="V42" s="16">
        <f t="shared" si="9"/>
        <v>0.6</v>
      </c>
      <c r="W42" s="15"/>
      <c r="X42" s="16">
        <f t="shared" si="10"/>
        <v>1.5463917525773196E-2</v>
      </c>
      <c r="Y42" s="15" t="str">
        <f t="shared" si="11"/>
        <v>P0 Critical</v>
      </c>
      <c r="Z42" s="13">
        <v>18</v>
      </c>
      <c r="AA42" s="17">
        <f t="shared" si="12"/>
        <v>0</v>
      </c>
    </row>
    <row r="43" spans="1:27" ht="16.5" x14ac:dyDescent="0.55000000000000004">
      <c r="A43" s="12" t="s">
        <v>49</v>
      </c>
      <c r="B43" s="13">
        <f>COUNTIFS($A$2:A43,A43)</f>
        <v>2</v>
      </c>
      <c r="C43" s="13">
        <f t="shared" si="0"/>
        <v>0.25</v>
      </c>
      <c r="D43" s="14">
        <v>46092</v>
      </c>
      <c r="E43" s="14" t="str">
        <f t="shared" si="1"/>
        <v>Wed</v>
      </c>
      <c r="F43" s="14" t="s">
        <v>28</v>
      </c>
      <c r="G43" s="14" t="str">
        <f t="shared" si="2"/>
        <v>Week 2</v>
      </c>
      <c r="H43" s="14" t="str">
        <f t="shared" si="3"/>
        <v>Weekday</v>
      </c>
      <c r="I43" s="14" t="str">
        <f t="shared" si="4"/>
        <v>Mar</v>
      </c>
      <c r="J43" s="15" t="s">
        <v>38</v>
      </c>
      <c r="K43" s="15" t="s">
        <v>39</v>
      </c>
      <c r="L43" s="15" t="s">
        <v>32</v>
      </c>
      <c r="M43" s="13">
        <v>2</v>
      </c>
      <c r="N43" s="15">
        <v>935</v>
      </c>
      <c r="O43" s="15">
        <v>885</v>
      </c>
      <c r="P43" s="16">
        <f t="shared" si="5"/>
        <v>0.946524064171123</v>
      </c>
      <c r="Q43" s="15" t="str">
        <f t="shared" si="6"/>
        <v>P1 Attention</v>
      </c>
      <c r="R43" s="15">
        <v>35</v>
      </c>
      <c r="S43" s="16">
        <f t="shared" si="7"/>
        <v>3.954802259887006E-2</v>
      </c>
      <c r="T43" s="15" t="str">
        <f t="shared" si="8"/>
        <v>P2 Observe</v>
      </c>
      <c r="U43" s="15">
        <v>15</v>
      </c>
      <c r="V43" s="16">
        <f t="shared" si="9"/>
        <v>0.42857142857142855</v>
      </c>
      <c r="W43" s="15"/>
      <c r="X43" s="16">
        <f t="shared" si="10"/>
        <v>1.6042780748663103E-2</v>
      </c>
      <c r="Y43" s="15" t="str">
        <f t="shared" si="11"/>
        <v>P0 Critical</v>
      </c>
      <c r="Z43" s="13">
        <v>30</v>
      </c>
      <c r="AA43" s="17">
        <f t="shared" si="12"/>
        <v>0</v>
      </c>
    </row>
    <row r="44" spans="1:27" ht="16.5" x14ac:dyDescent="0.55000000000000004">
      <c r="A44" s="12" t="s">
        <v>49</v>
      </c>
      <c r="B44" s="13">
        <f>COUNTIFS($A$2:A44,A44)</f>
        <v>3</v>
      </c>
      <c r="C44" s="13">
        <f t="shared" si="0"/>
        <v>0.25</v>
      </c>
      <c r="D44" s="14">
        <v>46092</v>
      </c>
      <c r="E44" s="14" t="str">
        <f t="shared" si="1"/>
        <v>Wed</v>
      </c>
      <c r="F44" s="14" t="s">
        <v>28</v>
      </c>
      <c r="G44" s="14" t="str">
        <f t="shared" si="2"/>
        <v>Week 2</v>
      </c>
      <c r="H44" s="14" t="str">
        <f t="shared" si="3"/>
        <v>Weekday</v>
      </c>
      <c r="I44" s="14" t="str">
        <f t="shared" si="4"/>
        <v>Mar</v>
      </c>
      <c r="J44" s="15" t="s">
        <v>38</v>
      </c>
      <c r="K44" s="15" t="s">
        <v>39</v>
      </c>
      <c r="L44" s="15" t="s">
        <v>33</v>
      </c>
      <c r="M44" s="13">
        <v>3</v>
      </c>
      <c r="N44" s="15">
        <v>955</v>
      </c>
      <c r="O44" s="15">
        <v>905</v>
      </c>
      <c r="P44" s="16">
        <f t="shared" si="5"/>
        <v>0.94764397905759157</v>
      </c>
      <c r="Q44" s="15" t="str">
        <f t="shared" si="6"/>
        <v>P1 Attention</v>
      </c>
      <c r="R44" s="15">
        <v>30</v>
      </c>
      <c r="S44" s="16">
        <f t="shared" si="7"/>
        <v>3.3149171270718231E-2</v>
      </c>
      <c r="T44" s="15" t="str">
        <f t="shared" si="8"/>
        <v>P1 Attention</v>
      </c>
      <c r="U44" s="15">
        <v>20</v>
      </c>
      <c r="V44" s="16">
        <f t="shared" si="9"/>
        <v>0.66666666666666663</v>
      </c>
      <c r="W44" s="15"/>
      <c r="X44" s="16">
        <f t="shared" si="10"/>
        <v>2.0942408376963352E-2</v>
      </c>
      <c r="Y44" s="15" t="str">
        <f t="shared" si="11"/>
        <v>P2 Observe</v>
      </c>
      <c r="Z44" s="13">
        <v>27</v>
      </c>
      <c r="AA44" s="17">
        <f t="shared" si="12"/>
        <v>0</v>
      </c>
    </row>
    <row r="45" spans="1:27" ht="16.5" x14ac:dyDescent="0.55000000000000004">
      <c r="A45" s="12" t="s">
        <v>49</v>
      </c>
      <c r="B45" s="13">
        <f>COUNTIFS($A$2:A45,A45)</f>
        <v>4</v>
      </c>
      <c r="C45" s="13">
        <f t="shared" si="0"/>
        <v>0.25</v>
      </c>
      <c r="D45" s="14">
        <v>46092</v>
      </c>
      <c r="E45" s="14" t="str">
        <f t="shared" si="1"/>
        <v>Wed</v>
      </c>
      <c r="F45" s="14" t="s">
        <v>28</v>
      </c>
      <c r="G45" s="14" t="str">
        <f t="shared" si="2"/>
        <v>Week 2</v>
      </c>
      <c r="H45" s="14" t="str">
        <f t="shared" si="3"/>
        <v>Weekday</v>
      </c>
      <c r="I45" s="14" t="str">
        <f t="shared" si="4"/>
        <v>Mar</v>
      </c>
      <c r="J45" s="15" t="s">
        <v>38</v>
      </c>
      <c r="K45" s="15" t="s">
        <v>39</v>
      </c>
      <c r="L45" s="15" t="s">
        <v>34</v>
      </c>
      <c r="M45" s="13">
        <v>4</v>
      </c>
      <c r="N45" s="15">
        <v>920</v>
      </c>
      <c r="O45" s="15">
        <v>870</v>
      </c>
      <c r="P45" s="16">
        <f t="shared" si="5"/>
        <v>0.94565217391304346</v>
      </c>
      <c r="Q45" s="15" t="str">
        <f t="shared" si="6"/>
        <v>P1 Attention</v>
      </c>
      <c r="R45" s="15">
        <v>30</v>
      </c>
      <c r="S45" s="16">
        <f t="shared" si="7"/>
        <v>3.4482758620689655E-2</v>
      </c>
      <c r="T45" s="15" t="str">
        <f t="shared" si="8"/>
        <v>P1 Attention</v>
      </c>
      <c r="U45" s="15">
        <v>20</v>
      </c>
      <c r="V45" s="16">
        <f t="shared" si="9"/>
        <v>0.66666666666666663</v>
      </c>
      <c r="W45" s="15"/>
      <c r="X45" s="16">
        <f t="shared" si="10"/>
        <v>2.1739130434782608E-2</v>
      </c>
      <c r="Y45" s="15" t="str">
        <f t="shared" si="11"/>
        <v>P2 Observe</v>
      </c>
      <c r="Z45" s="13">
        <v>25</v>
      </c>
      <c r="AA45" s="17">
        <f t="shared" si="12"/>
        <v>0</v>
      </c>
    </row>
    <row r="46" spans="1:27" ht="16.5" x14ac:dyDescent="0.55000000000000004">
      <c r="A46" s="12" t="s">
        <v>50</v>
      </c>
      <c r="B46" s="13">
        <f>COUNTIFS($A$2:A46,A46)</f>
        <v>1</v>
      </c>
      <c r="C46" s="13">
        <f t="shared" si="0"/>
        <v>0.25</v>
      </c>
      <c r="D46" s="14">
        <v>46093</v>
      </c>
      <c r="E46" s="14" t="str">
        <f t="shared" si="1"/>
        <v>Thu</v>
      </c>
      <c r="F46" s="14" t="s">
        <v>28</v>
      </c>
      <c r="G46" s="14" t="str">
        <f t="shared" si="2"/>
        <v>Week 2</v>
      </c>
      <c r="H46" s="14" t="str">
        <f t="shared" si="3"/>
        <v>Weekday</v>
      </c>
      <c r="I46" s="14" t="str">
        <f t="shared" si="4"/>
        <v>Mar</v>
      </c>
      <c r="J46" s="15" t="s">
        <v>42</v>
      </c>
      <c r="K46" s="15" t="s">
        <v>43</v>
      </c>
      <c r="L46" s="15" t="s">
        <v>31</v>
      </c>
      <c r="M46" s="13">
        <v>1</v>
      </c>
      <c r="N46" s="15">
        <v>990</v>
      </c>
      <c r="O46" s="15">
        <v>945</v>
      </c>
      <c r="P46" s="16">
        <f t="shared" si="5"/>
        <v>0.95454545454545459</v>
      </c>
      <c r="Q46" s="15" t="str">
        <f t="shared" si="6"/>
        <v>P2 Observe</v>
      </c>
      <c r="R46" s="15">
        <v>30</v>
      </c>
      <c r="S46" s="16">
        <f t="shared" si="7"/>
        <v>3.1746031746031744E-2</v>
      </c>
      <c r="T46" s="15" t="str">
        <f t="shared" si="8"/>
        <v>P1 Attention</v>
      </c>
      <c r="U46" s="15">
        <v>15</v>
      </c>
      <c r="V46" s="16">
        <f t="shared" si="9"/>
        <v>0.5</v>
      </c>
      <c r="W46" s="15"/>
      <c r="X46" s="16">
        <f t="shared" si="10"/>
        <v>1.5151515151515152E-2</v>
      </c>
      <c r="Y46" s="15" t="str">
        <f t="shared" si="11"/>
        <v>P0 Critical</v>
      </c>
      <c r="Z46" s="13">
        <v>20</v>
      </c>
      <c r="AA46" s="17">
        <f t="shared" si="12"/>
        <v>0</v>
      </c>
    </row>
    <row r="47" spans="1:27" ht="16.5" x14ac:dyDescent="0.55000000000000004">
      <c r="A47" s="12" t="s">
        <v>50</v>
      </c>
      <c r="B47" s="13">
        <f>COUNTIFS($A$2:A47,A47)</f>
        <v>2</v>
      </c>
      <c r="C47" s="13">
        <f t="shared" si="0"/>
        <v>0.25</v>
      </c>
      <c r="D47" s="14">
        <v>46093</v>
      </c>
      <c r="E47" s="14" t="str">
        <f t="shared" si="1"/>
        <v>Thu</v>
      </c>
      <c r="F47" s="14" t="s">
        <v>28</v>
      </c>
      <c r="G47" s="14" t="str">
        <f t="shared" si="2"/>
        <v>Week 2</v>
      </c>
      <c r="H47" s="14" t="str">
        <f t="shared" si="3"/>
        <v>Weekday</v>
      </c>
      <c r="I47" s="14" t="str">
        <f t="shared" si="4"/>
        <v>Mar</v>
      </c>
      <c r="J47" s="15" t="s">
        <v>42</v>
      </c>
      <c r="K47" s="15" t="s">
        <v>43</v>
      </c>
      <c r="L47" s="15" t="s">
        <v>32</v>
      </c>
      <c r="M47" s="13">
        <v>2</v>
      </c>
      <c r="N47" s="15">
        <v>955</v>
      </c>
      <c r="O47" s="15">
        <v>900</v>
      </c>
      <c r="P47" s="16">
        <f t="shared" si="5"/>
        <v>0.94240837696335078</v>
      </c>
      <c r="Q47" s="15" t="str">
        <f t="shared" si="6"/>
        <v>P0 Critical</v>
      </c>
      <c r="R47" s="15">
        <v>35</v>
      </c>
      <c r="S47" s="16">
        <f t="shared" si="7"/>
        <v>3.888888888888889E-2</v>
      </c>
      <c r="T47" s="15" t="str">
        <f t="shared" si="8"/>
        <v>P2 Observe</v>
      </c>
      <c r="U47" s="15">
        <v>20</v>
      </c>
      <c r="V47" s="16">
        <f t="shared" si="9"/>
        <v>0.5714285714285714</v>
      </c>
      <c r="W47" s="15"/>
      <c r="X47" s="16">
        <f t="shared" si="10"/>
        <v>2.0942408376963352E-2</v>
      </c>
      <c r="Y47" s="15" t="str">
        <f t="shared" si="11"/>
        <v>P2 Observe</v>
      </c>
      <c r="Z47" s="13">
        <v>32</v>
      </c>
      <c r="AA47" s="17">
        <f t="shared" si="12"/>
        <v>0</v>
      </c>
    </row>
    <row r="48" spans="1:27" ht="16.5" x14ac:dyDescent="0.55000000000000004">
      <c r="A48" s="12" t="s">
        <v>50</v>
      </c>
      <c r="B48" s="13">
        <f>COUNTIFS($A$2:A48,A48)</f>
        <v>3</v>
      </c>
      <c r="C48" s="13">
        <f t="shared" si="0"/>
        <v>0.25</v>
      </c>
      <c r="D48" s="14">
        <v>46093</v>
      </c>
      <c r="E48" s="14" t="str">
        <f t="shared" si="1"/>
        <v>Thu</v>
      </c>
      <c r="F48" s="14" t="s">
        <v>28</v>
      </c>
      <c r="G48" s="14" t="str">
        <f t="shared" si="2"/>
        <v>Week 2</v>
      </c>
      <c r="H48" s="14" t="str">
        <f t="shared" si="3"/>
        <v>Weekday</v>
      </c>
      <c r="I48" s="14" t="str">
        <f t="shared" si="4"/>
        <v>Mar</v>
      </c>
      <c r="J48" s="15" t="s">
        <v>42</v>
      </c>
      <c r="K48" s="15" t="s">
        <v>43</v>
      </c>
      <c r="L48" s="15" t="s">
        <v>33</v>
      </c>
      <c r="M48" s="13">
        <v>3</v>
      </c>
      <c r="N48" s="15">
        <v>975</v>
      </c>
      <c r="O48" s="15">
        <v>920</v>
      </c>
      <c r="P48" s="16">
        <f t="shared" si="5"/>
        <v>0.94358974358974357</v>
      </c>
      <c r="Q48" s="15" t="str">
        <f t="shared" si="6"/>
        <v>P0 Critical</v>
      </c>
      <c r="R48" s="15">
        <v>35</v>
      </c>
      <c r="S48" s="16">
        <f t="shared" si="7"/>
        <v>3.8043478260869568E-2</v>
      </c>
      <c r="T48" s="15" t="str">
        <f t="shared" si="8"/>
        <v>P2 Observe</v>
      </c>
      <c r="U48" s="15">
        <v>20</v>
      </c>
      <c r="V48" s="16">
        <f t="shared" si="9"/>
        <v>0.5714285714285714</v>
      </c>
      <c r="W48" s="15"/>
      <c r="X48" s="16">
        <f t="shared" si="10"/>
        <v>2.0512820512820513E-2</v>
      </c>
      <c r="Y48" s="15" t="str">
        <f t="shared" si="11"/>
        <v>P2 Observe</v>
      </c>
      <c r="Z48" s="13">
        <v>28</v>
      </c>
      <c r="AA48" s="17">
        <f t="shared" si="12"/>
        <v>0</v>
      </c>
    </row>
    <row r="49" spans="1:27" ht="16.5" x14ac:dyDescent="0.55000000000000004">
      <c r="A49" s="12" t="s">
        <v>50</v>
      </c>
      <c r="B49" s="13">
        <f>COUNTIFS($A$2:A49,A49)</f>
        <v>4</v>
      </c>
      <c r="C49" s="13">
        <f t="shared" si="0"/>
        <v>0.25</v>
      </c>
      <c r="D49" s="14">
        <v>46093</v>
      </c>
      <c r="E49" s="14" t="str">
        <f t="shared" si="1"/>
        <v>Thu</v>
      </c>
      <c r="F49" s="14" t="s">
        <v>28</v>
      </c>
      <c r="G49" s="14" t="str">
        <f t="shared" si="2"/>
        <v>Week 2</v>
      </c>
      <c r="H49" s="14" t="str">
        <f t="shared" si="3"/>
        <v>Weekday</v>
      </c>
      <c r="I49" s="14" t="str">
        <f t="shared" si="4"/>
        <v>Mar</v>
      </c>
      <c r="J49" s="15" t="s">
        <v>42</v>
      </c>
      <c r="K49" s="15" t="s">
        <v>43</v>
      </c>
      <c r="L49" s="15" t="s">
        <v>34</v>
      </c>
      <c r="M49" s="13">
        <v>4</v>
      </c>
      <c r="N49" s="15">
        <v>935</v>
      </c>
      <c r="O49" s="15">
        <v>880</v>
      </c>
      <c r="P49" s="16">
        <f t="shared" si="5"/>
        <v>0.94117647058823528</v>
      </c>
      <c r="Q49" s="15" t="str">
        <f t="shared" si="6"/>
        <v>P0 Critical</v>
      </c>
      <c r="R49" s="15">
        <v>35</v>
      </c>
      <c r="S49" s="16">
        <f t="shared" si="7"/>
        <v>3.9772727272727272E-2</v>
      </c>
      <c r="T49" s="15" t="str">
        <f t="shared" si="8"/>
        <v>P2 Observe</v>
      </c>
      <c r="U49" s="15">
        <v>20</v>
      </c>
      <c r="V49" s="16">
        <f t="shared" si="9"/>
        <v>0.5714285714285714</v>
      </c>
      <c r="W49" s="15"/>
      <c r="X49" s="16">
        <f t="shared" si="10"/>
        <v>2.1390374331550801E-2</v>
      </c>
      <c r="Y49" s="15" t="str">
        <f t="shared" si="11"/>
        <v>P2 Observe</v>
      </c>
      <c r="Z49" s="13">
        <v>26</v>
      </c>
      <c r="AA49" s="17">
        <f t="shared" si="12"/>
        <v>0</v>
      </c>
    </row>
    <row r="50" spans="1:27" ht="16.5" x14ac:dyDescent="0.55000000000000004">
      <c r="A50" s="12" t="s">
        <v>51</v>
      </c>
      <c r="B50" s="13">
        <f>COUNTIFS($A$2:A50,A50)</f>
        <v>1</v>
      </c>
      <c r="C50" s="13">
        <f t="shared" si="0"/>
        <v>0.25</v>
      </c>
      <c r="D50" s="14">
        <v>46094</v>
      </c>
      <c r="E50" s="14" t="str">
        <f t="shared" si="1"/>
        <v>Fri</v>
      </c>
      <c r="F50" s="14" t="s">
        <v>28</v>
      </c>
      <c r="G50" s="14" t="str">
        <f t="shared" si="2"/>
        <v>Week 2</v>
      </c>
      <c r="H50" s="14" t="str">
        <f t="shared" si="3"/>
        <v>Weekday</v>
      </c>
      <c r="I50" s="14" t="str">
        <f t="shared" si="4"/>
        <v>Mar</v>
      </c>
      <c r="J50" s="15" t="s">
        <v>29</v>
      </c>
      <c r="K50" s="15" t="s">
        <v>30</v>
      </c>
      <c r="L50" s="15" t="s">
        <v>31</v>
      </c>
      <c r="M50" s="13">
        <v>1</v>
      </c>
      <c r="N50" s="15">
        <v>1120</v>
      </c>
      <c r="O50" s="15">
        <v>1075</v>
      </c>
      <c r="P50" s="16">
        <f t="shared" si="5"/>
        <v>0.9598214285714286</v>
      </c>
      <c r="Q50" s="15" t="str">
        <f t="shared" si="6"/>
        <v>P2 Observe</v>
      </c>
      <c r="R50" s="15">
        <v>30</v>
      </c>
      <c r="S50" s="16">
        <f t="shared" si="7"/>
        <v>2.7906976744186046E-2</v>
      </c>
      <c r="T50" s="15" t="str">
        <f t="shared" si="8"/>
        <v>P0 Critical</v>
      </c>
      <c r="U50" s="15">
        <v>15</v>
      </c>
      <c r="V50" s="16">
        <f t="shared" si="9"/>
        <v>0.5</v>
      </c>
      <c r="W50" s="15"/>
      <c r="X50" s="16">
        <f t="shared" si="10"/>
        <v>1.3392857142857142E-2</v>
      </c>
      <c r="Y50" s="15" t="str">
        <f t="shared" si="11"/>
        <v>P0 Critical</v>
      </c>
      <c r="Z50" s="13">
        <v>22</v>
      </c>
      <c r="AA50" s="17">
        <f t="shared" si="12"/>
        <v>0</v>
      </c>
    </row>
    <row r="51" spans="1:27" ht="16.5" x14ac:dyDescent="0.55000000000000004">
      <c r="A51" s="12" t="s">
        <v>51</v>
      </c>
      <c r="B51" s="13">
        <f>COUNTIFS($A$2:A51,A51)</f>
        <v>2</v>
      </c>
      <c r="C51" s="13">
        <f t="shared" si="0"/>
        <v>0.25</v>
      </c>
      <c r="D51" s="14">
        <v>46094</v>
      </c>
      <c r="E51" s="14" t="str">
        <f t="shared" si="1"/>
        <v>Fri</v>
      </c>
      <c r="F51" s="14" t="s">
        <v>28</v>
      </c>
      <c r="G51" s="14" t="str">
        <f t="shared" si="2"/>
        <v>Week 2</v>
      </c>
      <c r="H51" s="14" t="str">
        <f t="shared" si="3"/>
        <v>Weekday</v>
      </c>
      <c r="I51" s="14" t="str">
        <f t="shared" si="4"/>
        <v>Mar</v>
      </c>
      <c r="J51" s="15" t="s">
        <v>29</v>
      </c>
      <c r="K51" s="15" t="s">
        <v>30</v>
      </c>
      <c r="L51" s="15" t="s">
        <v>32</v>
      </c>
      <c r="M51" s="13">
        <v>2</v>
      </c>
      <c r="N51" s="15">
        <v>1085</v>
      </c>
      <c r="O51" s="15">
        <v>1030</v>
      </c>
      <c r="P51" s="16">
        <f t="shared" si="5"/>
        <v>0.94930875576036866</v>
      </c>
      <c r="Q51" s="15" t="str">
        <f t="shared" si="6"/>
        <v>P1 Attention</v>
      </c>
      <c r="R51" s="15">
        <v>35</v>
      </c>
      <c r="S51" s="16">
        <f t="shared" si="7"/>
        <v>3.3980582524271843E-2</v>
      </c>
      <c r="T51" s="15" t="str">
        <f t="shared" si="8"/>
        <v>P1 Attention</v>
      </c>
      <c r="U51" s="15">
        <v>20</v>
      </c>
      <c r="V51" s="16">
        <f t="shared" si="9"/>
        <v>0.5714285714285714</v>
      </c>
      <c r="W51" s="15"/>
      <c r="X51" s="16">
        <f t="shared" si="10"/>
        <v>1.8433179723502304E-2</v>
      </c>
      <c r="Y51" s="15" t="str">
        <f t="shared" si="11"/>
        <v>P0 Critical</v>
      </c>
      <c r="Z51" s="13">
        <v>38</v>
      </c>
      <c r="AA51" s="17">
        <f t="shared" si="12"/>
        <v>0</v>
      </c>
    </row>
    <row r="52" spans="1:27" ht="16.5" x14ac:dyDescent="0.55000000000000004">
      <c r="A52" s="12" t="s">
        <v>51</v>
      </c>
      <c r="B52" s="13">
        <f>COUNTIFS($A$2:A52,A52)</f>
        <v>3</v>
      </c>
      <c r="C52" s="13">
        <f t="shared" si="0"/>
        <v>0.25</v>
      </c>
      <c r="D52" s="14">
        <v>46094</v>
      </c>
      <c r="E52" s="14" t="str">
        <f t="shared" si="1"/>
        <v>Fri</v>
      </c>
      <c r="F52" s="14" t="s">
        <v>28</v>
      </c>
      <c r="G52" s="14" t="str">
        <f t="shared" si="2"/>
        <v>Week 2</v>
      </c>
      <c r="H52" s="14" t="str">
        <f t="shared" si="3"/>
        <v>Weekday</v>
      </c>
      <c r="I52" s="14" t="str">
        <f t="shared" si="4"/>
        <v>Mar</v>
      </c>
      <c r="J52" s="15" t="s">
        <v>29</v>
      </c>
      <c r="K52" s="15" t="s">
        <v>30</v>
      </c>
      <c r="L52" s="15" t="s">
        <v>33</v>
      </c>
      <c r="M52" s="13">
        <v>3</v>
      </c>
      <c r="N52" s="15">
        <v>1105</v>
      </c>
      <c r="O52" s="15">
        <v>1050</v>
      </c>
      <c r="P52" s="16">
        <f t="shared" si="5"/>
        <v>0.95022624434389136</v>
      </c>
      <c r="Q52" s="15" t="str">
        <f t="shared" si="6"/>
        <v>P2 Observe</v>
      </c>
      <c r="R52" s="15">
        <v>35</v>
      </c>
      <c r="S52" s="16">
        <f t="shared" si="7"/>
        <v>3.3333333333333333E-2</v>
      </c>
      <c r="T52" s="15" t="str">
        <f t="shared" si="8"/>
        <v>P1 Attention</v>
      </c>
      <c r="U52" s="15">
        <v>20</v>
      </c>
      <c r="V52" s="16">
        <f t="shared" si="9"/>
        <v>0.5714285714285714</v>
      </c>
      <c r="W52" s="15"/>
      <c r="X52" s="16">
        <f t="shared" si="10"/>
        <v>1.8099547511312219E-2</v>
      </c>
      <c r="Y52" s="15" t="str">
        <f t="shared" si="11"/>
        <v>P0 Critical</v>
      </c>
      <c r="Z52" s="13">
        <v>34</v>
      </c>
      <c r="AA52" s="17">
        <f t="shared" si="12"/>
        <v>0</v>
      </c>
    </row>
    <row r="53" spans="1:27" ht="16.5" x14ac:dyDescent="0.55000000000000004">
      <c r="A53" s="12" t="s">
        <v>51</v>
      </c>
      <c r="B53" s="13">
        <f>COUNTIFS($A$2:A53,A53)</f>
        <v>4</v>
      </c>
      <c r="C53" s="13">
        <f t="shared" si="0"/>
        <v>0.25</v>
      </c>
      <c r="D53" s="14">
        <v>46094</v>
      </c>
      <c r="E53" s="14" t="str">
        <f t="shared" si="1"/>
        <v>Fri</v>
      </c>
      <c r="F53" s="14" t="s">
        <v>28</v>
      </c>
      <c r="G53" s="14" t="str">
        <f t="shared" si="2"/>
        <v>Week 2</v>
      </c>
      <c r="H53" s="14" t="str">
        <f t="shared" si="3"/>
        <v>Weekday</v>
      </c>
      <c r="I53" s="14" t="str">
        <f t="shared" si="4"/>
        <v>Mar</v>
      </c>
      <c r="J53" s="15" t="s">
        <v>29</v>
      </c>
      <c r="K53" s="15" t="s">
        <v>30</v>
      </c>
      <c r="L53" s="15" t="s">
        <v>34</v>
      </c>
      <c r="M53" s="13">
        <v>4</v>
      </c>
      <c r="N53" s="15">
        <v>1065</v>
      </c>
      <c r="O53" s="15">
        <v>1010</v>
      </c>
      <c r="P53" s="16">
        <f t="shared" si="5"/>
        <v>0.94835680751173712</v>
      </c>
      <c r="Q53" s="15" t="str">
        <f t="shared" si="6"/>
        <v>P1 Attention</v>
      </c>
      <c r="R53" s="15">
        <v>35</v>
      </c>
      <c r="S53" s="16">
        <f t="shared" si="7"/>
        <v>3.4653465346534656E-2</v>
      </c>
      <c r="T53" s="15" t="str">
        <f t="shared" si="8"/>
        <v>P1 Attention</v>
      </c>
      <c r="U53" s="15">
        <v>20</v>
      </c>
      <c r="V53" s="16">
        <f t="shared" si="9"/>
        <v>0.5714285714285714</v>
      </c>
      <c r="W53" s="15"/>
      <c r="X53" s="16">
        <f t="shared" si="10"/>
        <v>1.8779342723004695E-2</v>
      </c>
      <c r="Y53" s="15" t="str">
        <f t="shared" si="11"/>
        <v>P1 Attention</v>
      </c>
      <c r="Z53" s="13">
        <v>30</v>
      </c>
      <c r="AA53" s="17">
        <f t="shared" si="12"/>
        <v>0</v>
      </c>
    </row>
    <row r="54" spans="1:27" ht="16.5" x14ac:dyDescent="0.55000000000000004">
      <c r="A54" s="12" t="s">
        <v>52</v>
      </c>
      <c r="B54" s="13">
        <f>COUNTIFS($A$2:A54,A54)</f>
        <v>1</v>
      </c>
      <c r="C54" s="13">
        <f t="shared" si="0"/>
        <v>0.25</v>
      </c>
      <c r="D54" s="14">
        <v>46095</v>
      </c>
      <c r="E54" s="14" t="str">
        <f t="shared" si="1"/>
        <v>Sat</v>
      </c>
      <c r="F54" s="14" t="s">
        <v>28</v>
      </c>
      <c r="G54" s="14" t="str">
        <f t="shared" si="2"/>
        <v>Week 2</v>
      </c>
      <c r="H54" s="14" t="str">
        <f t="shared" si="3"/>
        <v>Weekend</v>
      </c>
      <c r="I54" s="14" t="str">
        <f t="shared" si="4"/>
        <v>Mar</v>
      </c>
      <c r="J54" s="15" t="s">
        <v>38</v>
      </c>
      <c r="K54" s="15" t="s">
        <v>39</v>
      </c>
      <c r="L54" s="15" t="s">
        <v>31</v>
      </c>
      <c r="M54" s="13">
        <v>1</v>
      </c>
      <c r="N54" s="15">
        <v>960</v>
      </c>
      <c r="O54" s="15">
        <v>920</v>
      </c>
      <c r="P54" s="16">
        <f t="shared" si="5"/>
        <v>0.95833333333333337</v>
      </c>
      <c r="Q54" s="15" t="str">
        <f t="shared" si="6"/>
        <v>P2 Observe</v>
      </c>
      <c r="R54" s="15">
        <v>25</v>
      </c>
      <c r="S54" s="16">
        <f t="shared" si="7"/>
        <v>2.717391304347826E-2</v>
      </c>
      <c r="T54" s="15" t="str">
        <f t="shared" si="8"/>
        <v>P0 Critical</v>
      </c>
      <c r="U54" s="15">
        <v>15</v>
      </c>
      <c r="V54" s="16">
        <f t="shared" si="9"/>
        <v>0.6</v>
      </c>
      <c r="W54" s="15"/>
      <c r="X54" s="16">
        <f t="shared" si="10"/>
        <v>1.5625E-2</v>
      </c>
      <c r="Y54" s="15" t="str">
        <f t="shared" si="11"/>
        <v>P0 Critical</v>
      </c>
      <c r="Z54" s="13">
        <v>17</v>
      </c>
      <c r="AA54" s="17">
        <f t="shared" si="12"/>
        <v>0</v>
      </c>
    </row>
    <row r="55" spans="1:27" ht="16.5" x14ac:dyDescent="0.55000000000000004">
      <c r="A55" s="12" t="s">
        <v>52</v>
      </c>
      <c r="B55" s="13">
        <f>COUNTIFS($A$2:A55,A55)</f>
        <v>2</v>
      </c>
      <c r="C55" s="13">
        <f t="shared" si="0"/>
        <v>0.25</v>
      </c>
      <c r="D55" s="14">
        <v>46095</v>
      </c>
      <c r="E55" s="14" t="str">
        <f t="shared" si="1"/>
        <v>Sat</v>
      </c>
      <c r="F55" s="14" t="s">
        <v>28</v>
      </c>
      <c r="G55" s="14" t="str">
        <f t="shared" si="2"/>
        <v>Week 2</v>
      </c>
      <c r="H55" s="14" t="str">
        <f t="shared" si="3"/>
        <v>Weekend</v>
      </c>
      <c r="I55" s="14" t="str">
        <f t="shared" si="4"/>
        <v>Mar</v>
      </c>
      <c r="J55" s="15" t="s">
        <v>38</v>
      </c>
      <c r="K55" s="15" t="s">
        <v>39</v>
      </c>
      <c r="L55" s="15" t="s">
        <v>32</v>
      </c>
      <c r="M55" s="13">
        <v>2</v>
      </c>
      <c r="N55" s="15">
        <v>925</v>
      </c>
      <c r="O55" s="15">
        <v>875</v>
      </c>
      <c r="P55" s="16">
        <f t="shared" si="5"/>
        <v>0.94594594594594594</v>
      </c>
      <c r="Q55" s="15" t="str">
        <f t="shared" si="6"/>
        <v>P1 Attention</v>
      </c>
      <c r="R55" s="15">
        <v>35</v>
      </c>
      <c r="S55" s="16">
        <f t="shared" si="7"/>
        <v>0.04</v>
      </c>
      <c r="T55" s="15" t="str">
        <f t="shared" si="8"/>
        <v>P2 Observe</v>
      </c>
      <c r="U55" s="15">
        <v>15</v>
      </c>
      <c r="V55" s="16">
        <f t="shared" si="9"/>
        <v>0.42857142857142855</v>
      </c>
      <c r="W55" s="15"/>
      <c r="X55" s="16">
        <f t="shared" si="10"/>
        <v>1.6216216216216217E-2</v>
      </c>
      <c r="Y55" s="15" t="str">
        <f t="shared" si="11"/>
        <v>P0 Critical</v>
      </c>
      <c r="Z55" s="13">
        <v>29</v>
      </c>
      <c r="AA55" s="17">
        <f t="shared" si="12"/>
        <v>0</v>
      </c>
    </row>
    <row r="56" spans="1:27" ht="16.5" x14ac:dyDescent="0.55000000000000004">
      <c r="A56" s="12" t="s">
        <v>52</v>
      </c>
      <c r="B56" s="13">
        <f>COUNTIFS($A$2:A56,A56)</f>
        <v>3</v>
      </c>
      <c r="C56" s="13">
        <f t="shared" si="0"/>
        <v>0.25</v>
      </c>
      <c r="D56" s="14">
        <v>46095</v>
      </c>
      <c r="E56" s="14" t="str">
        <f t="shared" si="1"/>
        <v>Sat</v>
      </c>
      <c r="F56" s="14" t="s">
        <v>28</v>
      </c>
      <c r="G56" s="14" t="str">
        <f t="shared" si="2"/>
        <v>Week 2</v>
      </c>
      <c r="H56" s="14" t="str">
        <f t="shared" si="3"/>
        <v>Weekend</v>
      </c>
      <c r="I56" s="14" t="str">
        <f t="shared" si="4"/>
        <v>Mar</v>
      </c>
      <c r="J56" s="15" t="s">
        <v>38</v>
      </c>
      <c r="K56" s="15" t="s">
        <v>39</v>
      </c>
      <c r="L56" s="15" t="s">
        <v>33</v>
      </c>
      <c r="M56" s="13">
        <v>3</v>
      </c>
      <c r="N56" s="15">
        <v>945</v>
      </c>
      <c r="O56" s="15">
        <v>895</v>
      </c>
      <c r="P56" s="16">
        <f t="shared" si="5"/>
        <v>0.94708994708994709</v>
      </c>
      <c r="Q56" s="15" t="str">
        <f t="shared" si="6"/>
        <v>P1 Attention</v>
      </c>
      <c r="R56" s="15">
        <v>30</v>
      </c>
      <c r="S56" s="16">
        <f t="shared" si="7"/>
        <v>3.3519553072625698E-2</v>
      </c>
      <c r="T56" s="15" t="str">
        <f t="shared" si="8"/>
        <v>P1 Attention</v>
      </c>
      <c r="U56" s="15">
        <v>20</v>
      </c>
      <c r="V56" s="16">
        <f t="shared" si="9"/>
        <v>0.66666666666666663</v>
      </c>
      <c r="W56" s="15"/>
      <c r="X56" s="16">
        <f t="shared" si="10"/>
        <v>2.1164021164021163E-2</v>
      </c>
      <c r="Y56" s="15" t="str">
        <f t="shared" si="11"/>
        <v>P2 Observe</v>
      </c>
      <c r="Z56" s="13">
        <v>25</v>
      </c>
      <c r="AA56" s="17">
        <f t="shared" si="12"/>
        <v>0</v>
      </c>
    </row>
    <row r="57" spans="1:27" ht="16.5" x14ac:dyDescent="0.55000000000000004">
      <c r="A57" s="12" t="s">
        <v>52</v>
      </c>
      <c r="B57" s="13">
        <f>COUNTIFS($A$2:A57,A57)</f>
        <v>4</v>
      </c>
      <c r="C57" s="13">
        <f t="shared" si="0"/>
        <v>0.25</v>
      </c>
      <c r="D57" s="14">
        <v>46095</v>
      </c>
      <c r="E57" s="14" t="str">
        <f t="shared" si="1"/>
        <v>Sat</v>
      </c>
      <c r="F57" s="14" t="s">
        <v>28</v>
      </c>
      <c r="G57" s="14" t="str">
        <f t="shared" si="2"/>
        <v>Week 2</v>
      </c>
      <c r="H57" s="14" t="str">
        <f t="shared" si="3"/>
        <v>Weekend</v>
      </c>
      <c r="I57" s="14" t="str">
        <f t="shared" si="4"/>
        <v>Mar</v>
      </c>
      <c r="J57" s="15" t="s">
        <v>38</v>
      </c>
      <c r="K57" s="15" t="s">
        <v>39</v>
      </c>
      <c r="L57" s="15" t="s">
        <v>34</v>
      </c>
      <c r="M57" s="13">
        <v>4</v>
      </c>
      <c r="N57" s="15">
        <v>910</v>
      </c>
      <c r="O57" s="15">
        <v>860</v>
      </c>
      <c r="P57" s="16">
        <f t="shared" si="5"/>
        <v>0.94505494505494503</v>
      </c>
      <c r="Q57" s="15" t="str">
        <f t="shared" si="6"/>
        <v>P0 Critical</v>
      </c>
      <c r="R57" s="15">
        <v>30</v>
      </c>
      <c r="S57" s="16">
        <f t="shared" si="7"/>
        <v>3.4883720930232558E-2</v>
      </c>
      <c r="T57" s="15" t="str">
        <f t="shared" si="8"/>
        <v>P1 Attention</v>
      </c>
      <c r="U57" s="15">
        <v>20</v>
      </c>
      <c r="V57" s="16">
        <f t="shared" si="9"/>
        <v>0.66666666666666663</v>
      </c>
      <c r="W57" s="15"/>
      <c r="X57" s="16">
        <f t="shared" si="10"/>
        <v>2.197802197802198E-2</v>
      </c>
      <c r="Y57" s="15" t="str">
        <f t="shared" si="11"/>
        <v>P2 Observe</v>
      </c>
      <c r="Z57" s="13">
        <v>24</v>
      </c>
      <c r="AA57" s="17">
        <f t="shared" si="12"/>
        <v>0</v>
      </c>
    </row>
    <row r="58" spans="1:27" ht="16.5" x14ac:dyDescent="0.55000000000000004">
      <c r="A58" s="12" t="s">
        <v>53</v>
      </c>
      <c r="B58" s="13">
        <f>COUNTIFS($A$2:A58,A58)</f>
        <v>1</v>
      </c>
      <c r="C58" s="13">
        <f t="shared" si="0"/>
        <v>0.25</v>
      </c>
      <c r="D58" s="14">
        <v>46096</v>
      </c>
      <c r="E58" s="14" t="str">
        <f t="shared" si="1"/>
        <v>Sun</v>
      </c>
      <c r="F58" s="14" t="s">
        <v>28</v>
      </c>
      <c r="G58" s="14" t="str">
        <f t="shared" si="2"/>
        <v>Week 3</v>
      </c>
      <c r="H58" s="14" t="str">
        <f t="shared" si="3"/>
        <v>Weekend</v>
      </c>
      <c r="I58" s="14" t="str">
        <f t="shared" si="4"/>
        <v>Mar</v>
      </c>
      <c r="J58" s="15" t="s">
        <v>42</v>
      </c>
      <c r="K58" s="15" t="s">
        <v>43</v>
      </c>
      <c r="L58" s="15" t="s">
        <v>31</v>
      </c>
      <c r="M58" s="13">
        <v>1</v>
      </c>
      <c r="N58" s="15">
        <v>1010</v>
      </c>
      <c r="O58" s="15">
        <v>965</v>
      </c>
      <c r="P58" s="16">
        <f t="shared" si="5"/>
        <v>0.95544554455445541</v>
      </c>
      <c r="Q58" s="15" t="str">
        <f t="shared" si="6"/>
        <v>P2 Observe</v>
      </c>
      <c r="R58" s="15">
        <v>30</v>
      </c>
      <c r="S58" s="16">
        <f t="shared" si="7"/>
        <v>3.1088082901554404E-2</v>
      </c>
      <c r="T58" s="15" t="str">
        <f t="shared" si="8"/>
        <v>P0 Critical</v>
      </c>
      <c r="U58" s="15">
        <v>15</v>
      </c>
      <c r="V58" s="16">
        <f t="shared" si="9"/>
        <v>0.5</v>
      </c>
      <c r="W58" s="15"/>
      <c r="X58" s="16">
        <f t="shared" si="10"/>
        <v>1.4851485148514851E-2</v>
      </c>
      <c r="Y58" s="15" t="str">
        <f t="shared" si="11"/>
        <v>P0 Critical</v>
      </c>
      <c r="Z58" s="13">
        <v>21</v>
      </c>
      <c r="AA58" s="17">
        <f t="shared" si="12"/>
        <v>0</v>
      </c>
    </row>
    <row r="59" spans="1:27" ht="16.5" x14ac:dyDescent="0.55000000000000004">
      <c r="A59" s="12" t="s">
        <v>53</v>
      </c>
      <c r="B59" s="13">
        <f>COUNTIFS($A$2:A59,A59)</f>
        <v>2</v>
      </c>
      <c r="C59" s="13">
        <f t="shared" si="0"/>
        <v>0.25</v>
      </c>
      <c r="D59" s="14">
        <v>46096</v>
      </c>
      <c r="E59" s="14" t="str">
        <f t="shared" si="1"/>
        <v>Sun</v>
      </c>
      <c r="F59" s="14" t="s">
        <v>28</v>
      </c>
      <c r="G59" s="14" t="str">
        <f t="shared" si="2"/>
        <v>Week 3</v>
      </c>
      <c r="H59" s="14" t="str">
        <f t="shared" si="3"/>
        <v>Weekend</v>
      </c>
      <c r="I59" s="14" t="str">
        <f t="shared" si="4"/>
        <v>Mar</v>
      </c>
      <c r="J59" s="15" t="s">
        <v>42</v>
      </c>
      <c r="K59" s="15" t="s">
        <v>43</v>
      </c>
      <c r="L59" s="15" t="s">
        <v>32</v>
      </c>
      <c r="M59" s="13">
        <v>2</v>
      </c>
      <c r="N59" s="15">
        <v>975</v>
      </c>
      <c r="O59" s="15">
        <v>920</v>
      </c>
      <c r="P59" s="16">
        <f t="shared" si="5"/>
        <v>0.94358974358974357</v>
      </c>
      <c r="Q59" s="15" t="str">
        <f t="shared" si="6"/>
        <v>P0 Critical</v>
      </c>
      <c r="R59" s="15">
        <v>35</v>
      </c>
      <c r="S59" s="16">
        <f t="shared" si="7"/>
        <v>3.8043478260869568E-2</v>
      </c>
      <c r="T59" s="15" t="str">
        <f t="shared" si="8"/>
        <v>P2 Observe</v>
      </c>
      <c r="U59" s="15">
        <v>20</v>
      </c>
      <c r="V59" s="16">
        <f t="shared" si="9"/>
        <v>0.5714285714285714</v>
      </c>
      <c r="W59" s="15"/>
      <c r="X59" s="16">
        <f t="shared" si="10"/>
        <v>2.0512820512820513E-2</v>
      </c>
      <c r="Y59" s="15" t="str">
        <f t="shared" si="11"/>
        <v>P2 Observe</v>
      </c>
      <c r="Z59" s="13">
        <v>33</v>
      </c>
      <c r="AA59" s="17">
        <f t="shared" si="12"/>
        <v>0</v>
      </c>
    </row>
    <row r="60" spans="1:27" ht="16.5" x14ac:dyDescent="0.55000000000000004">
      <c r="A60" s="12" t="s">
        <v>53</v>
      </c>
      <c r="B60" s="13">
        <f>COUNTIFS($A$2:A60,A60)</f>
        <v>3</v>
      </c>
      <c r="C60" s="13">
        <f t="shared" si="0"/>
        <v>0.25</v>
      </c>
      <c r="D60" s="14">
        <v>46096</v>
      </c>
      <c r="E60" s="14" t="str">
        <f t="shared" si="1"/>
        <v>Sun</v>
      </c>
      <c r="F60" s="14" t="s">
        <v>28</v>
      </c>
      <c r="G60" s="14" t="str">
        <f t="shared" si="2"/>
        <v>Week 3</v>
      </c>
      <c r="H60" s="14" t="str">
        <f t="shared" si="3"/>
        <v>Weekend</v>
      </c>
      <c r="I60" s="14" t="str">
        <f t="shared" si="4"/>
        <v>Mar</v>
      </c>
      <c r="J60" s="15" t="s">
        <v>42</v>
      </c>
      <c r="K60" s="15" t="s">
        <v>43</v>
      </c>
      <c r="L60" s="15" t="s">
        <v>33</v>
      </c>
      <c r="M60" s="13">
        <v>3</v>
      </c>
      <c r="N60" s="15">
        <v>995</v>
      </c>
      <c r="O60" s="15">
        <v>940</v>
      </c>
      <c r="P60" s="16">
        <f t="shared" si="5"/>
        <v>0.94472361809045224</v>
      </c>
      <c r="Q60" s="15" t="str">
        <f t="shared" si="6"/>
        <v>P0 Critical</v>
      </c>
      <c r="R60" s="15">
        <v>35</v>
      </c>
      <c r="S60" s="16">
        <f t="shared" si="7"/>
        <v>3.7234042553191488E-2</v>
      </c>
      <c r="T60" s="15" t="str">
        <f t="shared" si="8"/>
        <v>P2 Observe</v>
      </c>
      <c r="U60" s="15">
        <v>20</v>
      </c>
      <c r="V60" s="16">
        <f t="shared" si="9"/>
        <v>0.5714285714285714</v>
      </c>
      <c r="W60" s="15"/>
      <c r="X60" s="16">
        <f t="shared" si="10"/>
        <v>2.0100502512562814E-2</v>
      </c>
      <c r="Y60" s="15" t="str">
        <f t="shared" si="11"/>
        <v>P2 Observe</v>
      </c>
      <c r="Z60" s="13">
        <v>29</v>
      </c>
      <c r="AA60" s="17">
        <f t="shared" si="12"/>
        <v>0</v>
      </c>
    </row>
    <row r="61" spans="1:27" ht="16.5" x14ac:dyDescent="0.55000000000000004">
      <c r="A61" s="12" t="s">
        <v>53</v>
      </c>
      <c r="B61" s="13">
        <f>COUNTIFS($A$2:A61,A61)</f>
        <v>4</v>
      </c>
      <c r="C61" s="13">
        <f t="shared" si="0"/>
        <v>0.25</v>
      </c>
      <c r="D61" s="14">
        <v>46096</v>
      </c>
      <c r="E61" s="14" t="str">
        <f t="shared" si="1"/>
        <v>Sun</v>
      </c>
      <c r="F61" s="14" t="s">
        <v>28</v>
      </c>
      <c r="G61" s="14" t="str">
        <f t="shared" si="2"/>
        <v>Week 3</v>
      </c>
      <c r="H61" s="14" t="str">
        <f t="shared" si="3"/>
        <v>Weekend</v>
      </c>
      <c r="I61" s="14" t="str">
        <f t="shared" si="4"/>
        <v>Mar</v>
      </c>
      <c r="J61" s="15" t="s">
        <v>42</v>
      </c>
      <c r="K61" s="15" t="s">
        <v>43</v>
      </c>
      <c r="L61" s="15" t="s">
        <v>34</v>
      </c>
      <c r="M61" s="13">
        <v>4</v>
      </c>
      <c r="N61" s="15">
        <v>955</v>
      </c>
      <c r="O61" s="15">
        <v>900</v>
      </c>
      <c r="P61" s="16">
        <f t="shared" si="5"/>
        <v>0.94240837696335078</v>
      </c>
      <c r="Q61" s="15" t="str">
        <f t="shared" si="6"/>
        <v>P0 Critical</v>
      </c>
      <c r="R61" s="15">
        <v>35</v>
      </c>
      <c r="S61" s="16">
        <f t="shared" si="7"/>
        <v>3.888888888888889E-2</v>
      </c>
      <c r="T61" s="15" t="str">
        <f t="shared" si="8"/>
        <v>P2 Observe</v>
      </c>
      <c r="U61" s="15">
        <v>20</v>
      </c>
      <c r="V61" s="16">
        <f t="shared" si="9"/>
        <v>0.5714285714285714</v>
      </c>
      <c r="W61" s="15"/>
      <c r="X61" s="16">
        <f t="shared" si="10"/>
        <v>2.0942408376963352E-2</v>
      </c>
      <c r="Y61" s="15" t="str">
        <f t="shared" si="11"/>
        <v>P2 Observe</v>
      </c>
      <c r="Z61" s="13">
        <v>27</v>
      </c>
      <c r="AA61" s="17">
        <f t="shared" si="12"/>
        <v>0</v>
      </c>
    </row>
    <row r="62" spans="1:27" ht="16.5" x14ac:dyDescent="0.55000000000000004">
      <c r="A62" s="12" t="s">
        <v>54</v>
      </c>
      <c r="B62" s="13">
        <f>COUNTIFS($A$2:A62,A62)</f>
        <v>1</v>
      </c>
      <c r="C62" s="13">
        <f t="shared" si="0"/>
        <v>0.25</v>
      </c>
      <c r="D62" s="14">
        <v>46097</v>
      </c>
      <c r="E62" s="14" t="str">
        <f t="shared" si="1"/>
        <v>Mon</v>
      </c>
      <c r="F62" s="14" t="s">
        <v>28</v>
      </c>
      <c r="G62" s="14" t="str">
        <f t="shared" si="2"/>
        <v>Week 3</v>
      </c>
      <c r="H62" s="14" t="str">
        <f t="shared" si="3"/>
        <v>Weekday</v>
      </c>
      <c r="I62" s="14" t="str">
        <f t="shared" si="4"/>
        <v>Mar</v>
      </c>
      <c r="J62" s="15" t="s">
        <v>29</v>
      </c>
      <c r="K62" s="15" t="s">
        <v>30</v>
      </c>
      <c r="L62" s="15" t="s">
        <v>31</v>
      </c>
      <c r="M62" s="13">
        <v>1</v>
      </c>
      <c r="N62" s="15">
        <v>1090</v>
      </c>
      <c r="O62" s="15">
        <v>1045</v>
      </c>
      <c r="P62" s="16">
        <f t="shared" si="5"/>
        <v>0.95871559633027525</v>
      </c>
      <c r="Q62" s="15" t="str">
        <f t="shared" si="6"/>
        <v>P2 Observe</v>
      </c>
      <c r="R62" s="15">
        <v>30</v>
      </c>
      <c r="S62" s="16">
        <f t="shared" si="7"/>
        <v>2.8708133971291867E-2</v>
      </c>
      <c r="T62" s="15" t="str">
        <f t="shared" si="8"/>
        <v>P0 Critical</v>
      </c>
      <c r="U62" s="15">
        <v>15</v>
      </c>
      <c r="V62" s="16">
        <f t="shared" si="9"/>
        <v>0.5</v>
      </c>
      <c r="W62" s="15"/>
      <c r="X62" s="16">
        <f t="shared" si="10"/>
        <v>1.3761467889908258E-2</v>
      </c>
      <c r="Y62" s="15" t="str">
        <f t="shared" si="11"/>
        <v>P0 Critical</v>
      </c>
      <c r="Z62" s="13">
        <v>20</v>
      </c>
      <c r="AA62" s="17">
        <f t="shared" si="12"/>
        <v>0</v>
      </c>
    </row>
    <row r="63" spans="1:27" ht="16.5" x14ac:dyDescent="0.55000000000000004">
      <c r="A63" s="12" t="s">
        <v>54</v>
      </c>
      <c r="B63" s="13">
        <f>COUNTIFS($A$2:A63,A63)</f>
        <v>2</v>
      </c>
      <c r="C63" s="13">
        <f t="shared" si="0"/>
        <v>0.25</v>
      </c>
      <c r="D63" s="14">
        <v>46097</v>
      </c>
      <c r="E63" s="14" t="str">
        <f t="shared" si="1"/>
        <v>Mon</v>
      </c>
      <c r="F63" s="14" t="s">
        <v>28</v>
      </c>
      <c r="G63" s="14" t="str">
        <f t="shared" si="2"/>
        <v>Week 3</v>
      </c>
      <c r="H63" s="14" t="str">
        <f t="shared" si="3"/>
        <v>Weekday</v>
      </c>
      <c r="I63" s="14" t="str">
        <f t="shared" si="4"/>
        <v>Mar</v>
      </c>
      <c r="J63" s="15" t="s">
        <v>29</v>
      </c>
      <c r="K63" s="15" t="s">
        <v>30</v>
      </c>
      <c r="L63" s="15" t="s">
        <v>32</v>
      </c>
      <c r="M63" s="13">
        <v>2</v>
      </c>
      <c r="N63" s="15">
        <v>1055</v>
      </c>
      <c r="O63" s="15">
        <v>1000</v>
      </c>
      <c r="P63" s="16">
        <f t="shared" si="5"/>
        <v>0.94786729857819907</v>
      </c>
      <c r="Q63" s="15" t="str">
        <f t="shared" si="6"/>
        <v>P1 Attention</v>
      </c>
      <c r="R63" s="15">
        <v>35</v>
      </c>
      <c r="S63" s="16">
        <f t="shared" si="7"/>
        <v>3.5000000000000003E-2</v>
      </c>
      <c r="T63" s="15" t="str">
        <f t="shared" si="8"/>
        <v>P1 Attention</v>
      </c>
      <c r="U63" s="15">
        <v>20</v>
      </c>
      <c r="V63" s="16">
        <f t="shared" si="9"/>
        <v>0.5714285714285714</v>
      </c>
      <c r="W63" s="15"/>
      <c r="X63" s="16">
        <f t="shared" si="10"/>
        <v>1.8957345971563982E-2</v>
      </c>
      <c r="Y63" s="15" t="str">
        <f t="shared" si="11"/>
        <v>P1 Attention</v>
      </c>
      <c r="Z63" s="13">
        <v>36</v>
      </c>
      <c r="AA63" s="17">
        <f t="shared" si="12"/>
        <v>0</v>
      </c>
    </row>
    <row r="64" spans="1:27" ht="16.5" x14ac:dyDescent="0.55000000000000004">
      <c r="A64" s="12" t="s">
        <v>54</v>
      </c>
      <c r="B64" s="13">
        <f>COUNTIFS($A$2:A64,A64)</f>
        <v>3</v>
      </c>
      <c r="C64" s="13">
        <f t="shared" si="0"/>
        <v>0.25</v>
      </c>
      <c r="D64" s="14">
        <v>46097</v>
      </c>
      <c r="E64" s="14" t="str">
        <f t="shared" si="1"/>
        <v>Mon</v>
      </c>
      <c r="F64" s="14" t="s">
        <v>28</v>
      </c>
      <c r="G64" s="14" t="str">
        <f t="shared" si="2"/>
        <v>Week 3</v>
      </c>
      <c r="H64" s="14" t="str">
        <f t="shared" si="3"/>
        <v>Weekday</v>
      </c>
      <c r="I64" s="14" t="str">
        <f t="shared" si="4"/>
        <v>Mar</v>
      </c>
      <c r="J64" s="15" t="s">
        <v>29</v>
      </c>
      <c r="K64" s="15" t="s">
        <v>30</v>
      </c>
      <c r="L64" s="15" t="s">
        <v>33</v>
      </c>
      <c r="M64" s="13">
        <v>3</v>
      </c>
      <c r="N64" s="15">
        <v>1075</v>
      </c>
      <c r="O64" s="15">
        <v>1020</v>
      </c>
      <c r="P64" s="16">
        <f t="shared" si="5"/>
        <v>0.94883720930232562</v>
      </c>
      <c r="Q64" s="15" t="str">
        <f t="shared" si="6"/>
        <v>P1 Attention</v>
      </c>
      <c r="R64" s="15">
        <v>35</v>
      </c>
      <c r="S64" s="16">
        <f t="shared" si="7"/>
        <v>3.4313725490196081E-2</v>
      </c>
      <c r="T64" s="15" t="str">
        <f t="shared" si="8"/>
        <v>P1 Attention</v>
      </c>
      <c r="U64" s="15">
        <v>20</v>
      </c>
      <c r="V64" s="16">
        <f t="shared" si="9"/>
        <v>0.5714285714285714</v>
      </c>
      <c r="W64" s="15"/>
      <c r="X64" s="16">
        <f t="shared" si="10"/>
        <v>1.8604651162790697E-2</v>
      </c>
      <c r="Y64" s="15" t="str">
        <f t="shared" si="11"/>
        <v>P1 Attention</v>
      </c>
      <c r="Z64" s="13">
        <v>32</v>
      </c>
      <c r="AA64" s="17">
        <f t="shared" si="12"/>
        <v>0</v>
      </c>
    </row>
    <row r="65" spans="1:27" ht="16.5" x14ac:dyDescent="0.55000000000000004">
      <c r="A65" s="12" t="s">
        <v>54</v>
      </c>
      <c r="B65" s="13">
        <f>COUNTIFS($A$2:A65,A65)</f>
        <v>4</v>
      </c>
      <c r="C65" s="13">
        <f t="shared" si="0"/>
        <v>0.25</v>
      </c>
      <c r="D65" s="14">
        <v>46097</v>
      </c>
      <c r="E65" s="14" t="str">
        <f t="shared" si="1"/>
        <v>Mon</v>
      </c>
      <c r="F65" s="14" t="s">
        <v>28</v>
      </c>
      <c r="G65" s="14" t="str">
        <f t="shared" si="2"/>
        <v>Week 3</v>
      </c>
      <c r="H65" s="14" t="str">
        <f t="shared" si="3"/>
        <v>Weekday</v>
      </c>
      <c r="I65" s="14" t="str">
        <f t="shared" si="4"/>
        <v>Mar</v>
      </c>
      <c r="J65" s="15" t="s">
        <v>29</v>
      </c>
      <c r="K65" s="15" t="s">
        <v>30</v>
      </c>
      <c r="L65" s="15" t="s">
        <v>34</v>
      </c>
      <c r="M65" s="13">
        <v>4</v>
      </c>
      <c r="N65" s="15">
        <v>1035</v>
      </c>
      <c r="O65" s="15">
        <v>980</v>
      </c>
      <c r="P65" s="16">
        <f t="shared" si="5"/>
        <v>0.9468599033816425</v>
      </c>
      <c r="Q65" s="15" t="str">
        <f t="shared" si="6"/>
        <v>P1 Attention</v>
      </c>
      <c r="R65" s="15">
        <v>35</v>
      </c>
      <c r="S65" s="16">
        <f t="shared" si="7"/>
        <v>3.5714285714285712E-2</v>
      </c>
      <c r="T65" s="15" t="str">
        <f t="shared" si="8"/>
        <v>P2 Observe</v>
      </c>
      <c r="U65" s="15">
        <v>20</v>
      </c>
      <c r="V65" s="16">
        <f t="shared" si="9"/>
        <v>0.5714285714285714</v>
      </c>
      <c r="W65" s="15"/>
      <c r="X65" s="16">
        <f t="shared" si="10"/>
        <v>1.932367149758454E-2</v>
      </c>
      <c r="Y65" s="15" t="str">
        <f t="shared" si="11"/>
        <v>P1 Attention</v>
      </c>
      <c r="Z65" s="13">
        <v>28</v>
      </c>
      <c r="AA65" s="17">
        <f t="shared" si="12"/>
        <v>0</v>
      </c>
    </row>
    <row r="66" spans="1:27" ht="16.5" x14ac:dyDescent="0.55000000000000004">
      <c r="A66" s="12" t="s">
        <v>55</v>
      </c>
      <c r="B66" s="13">
        <f>COUNTIFS($A$2:A66,A66)</f>
        <v>1</v>
      </c>
      <c r="C66" s="13">
        <f t="shared" ref="C66:C127" si="13">1/_xlfn.MAXIFS($B$2:$B$127,$A$2:$A$127,A66)</f>
        <v>0.25</v>
      </c>
      <c r="D66" s="14">
        <v>46098</v>
      </c>
      <c r="E66" s="14" t="str">
        <f t="shared" ref="E66:E127" si="14">TEXT(D66,"DDD")</f>
        <v>Tue</v>
      </c>
      <c r="F66" s="14" t="s">
        <v>28</v>
      </c>
      <c r="G66" s="14" t="str">
        <f t="shared" ref="G66:G127" si="15">IF(VALUE(TEXT(D66,"DD"))&lt;=7,"Week 1",IF(VALUE(TEXT(D66,"DD"))&lt;=14,"Week 2",IF(VALUE(TEXT(D66,"DD"))&lt;=21,"Week 3","Week 4")))</f>
        <v>Week 3</v>
      </c>
      <c r="H66" s="14" t="str">
        <f t="shared" ref="H66:H127" si="16">IF(OR(E66="Sat",E66="Sun"),"Weekend","Weekday")</f>
        <v>Weekday</v>
      </c>
      <c r="I66" s="14" t="str">
        <f t="shared" ref="I66:I127" si="17">TEXT(D66,"MMM")</f>
        <v>Mar</v>
      </c>
      <c r="J66" s="15" t="s">
        <v>38</v>
      </c>
      <c r="K66" s="15" t="s">
        <v>39</v>
      </c>
      <c r="L66" s="15" t="s">
        <v>31</v>
      </c>
      <c r="M66" s="13">
        <v>1</v>
      </c>
      <c r="N66" s="15">
        <v>980</v>
      </c>
      <c r="O66" s="15">
        <v>940</v>
      </c>
      <c r="P66" s="16">
        <f t="shared" ref="P66:P127" si="18">O66/N66</f>
        <v>0.95918367346938771</v>
      </c>
      <c r="Q66" s="15" t="str">
        <f t="shared" ref="Q66:Q127" si="19">IF(P66&lt;=94.55%,"P0 Critical",IF(P66&lt;=95%,"P1 Attention",IF(P66&lt;=97%,"P2 Observe")))</f>
        <v>P2 Observe</v>
      </c>
      <c r="R66" s="15">
        <v>25</v>
      </c>
      <c r="S66" s="16">
        <f t="shared" ref="S66:S127" si="20">R66/O66</f>
        <v>2.6595744680851064E-2</v>
      </c>
      <c r="T66" s="15" t="str">
        <f t="shared" ref="T66:T127" si="21">IF(S66&lt;=3.15%,"P0 Critical",IF(S66&lt;=3.5%,"P1 Attention",IF(S66&lt;=5%,"P2 Observe")))</f>
        <v>P0 Critical</v>
      </c>
      <c r="U66" s="15">
        <v>15</v>
      </c>
      <c r="V66" s="16">
        <f t="shared" ref="V66:V127" si="22">U66/R66</f>
        <v>0.6</v>
      </c>
      <c r="W66" s="15"/>
      <c r="X66" s="16">
        <f t="shared" ref="X66:X127" si="23">U66/N66</f>
        <v>1.5306122448979591E-2</v>
      </c>
      <c r="Y66" s="15" t="str">
        <f t="shared" ref="Y66:Y127" si="24">IF(X66&lt;=1.85%,"P0 Critical",IF(X66&lt;=2%,"P1 Attention",IF(X66&lt;=5%,"P2 Observe")))</f>
        <v>P0 Critical</v>
      </c>
      <c r="Z66" s="13">
        <v>18</v>
      </c>
      <c r="AA66" s="17">
        <f t="shared" ref="AA66:AA127" si="25">N66-SUM(O66,R66,U66)</f>
        <v>0</v>
      </c>
    </row>
    <row r="67" spans="1:27" ht="16.5" x14ac:dyDescent="0.55000000000000004">
      <c r="A67" s="12" t="s">
        <v>55</v>
      </c>
      <c r="B67" s="13">
        <f>COUNTIFS($A$2:A67,A67)</f>
        <v>2</v>
      </c>
      <c r="C67" s="13">
        <f t="shared" si="13"/>
        <v>0.25</v>
      </c>
      <c r="D67" s="14">
        <v>46098</v>
      </c>
      <c r="E67" s="14" t="str">
        <f t="shared" si="14"/>
        <v>Tue</v>
      </c>
      <c r="F67" s="14" t="s">
        <v>28</v>
      </c>
      <c r="G67" s="14" t="str">
        <f t="shared" si="15"/>
        <v>Week 3</v>
      </c>
      <c r="H67" s="14" t="str">
        <f t="shared" si="16"/>
        <v>Weekday</v>
      </c>
      <c r="I67" s="14" t="str">
        <f t="shared" si="17"/>
        <v>Mar</v>
      </c>
      <c r="J67" s="15" t="s">
        <v>38</v>
      </c>
      <c r="K67" s="15" t="s">
        <v>39</v>
      </c>
      <c r="L67" s="15" t="s">
        <v>32</v>
      </c>
      <c r="M67" s="13">
        <v>2</v>
      </c>
      <c r="N67" s="15">
        <v>945</v>
      </c>
      <c r="O67" s="15">
        <v>895</v>
      </c>
      <c r="P67" s="16">
        <f t="shared" si="18"/>
        <v>0.94708994708994709</v>
      </c>
      <c r="Q67" s="15" t="str">
        <f t="shared" si="19"/>
        <v>P1 Attention</v>
      </c>
      <c r="R67" s="15">
        <v>35</v>
      </c>
      <c r="S67" s="16">
        <f t="shared" si="20"/>
        <v>3.9106145251396648E-2</v>
      </c>
      <c r="T67" s="15" t="str">
        <f t="shared" si="21"/>
        <v>P2 Observe</v>
      </c>
      <c r="U67" s="15">
        <v>15</v>
      </c>
      <c r="V67" s="16">
        <f t="shared" si="22"/>
        <v>0.42857142857142855</v>
      </c>
      <c r="W67" s="15"/>
      <c r="X67" s="16">
        <f t="shared" si="23"/>
        <v>1.5873015873015872E-2</v>
      </c>
      <c r="Y67" s="15" t="str">
        <f t="shared" si="24"/>
        <v>P0 Critical</v>
      </c>
      <c r="Z67" s="13">
        <v>30</v>
      </c>
      <c r="AA67" s="17">
        <f t="shared" si="25"/>
        <v>0</v>
      </c>
    </row>
    <row r="68" spans="1:27" ht="16.5" x14ac:dyDescent="0.55000000000000004">
      <c r="A68" s="12" t="s">
        <v>55</v>
      </c>
      <c r="B68" s="13">
        <f>COUNTIFS($A$2:A68,A68)</f>
        <v>3</v>
      </c>
      <c r="C68" s="13">
        <f t="shared" si="13"/>
        <v>0.25</v>
      </c>
      <c r="D68" s="14">
        <v>46098</v>
      </c>
      <c r="E68" s="14" t="str">
        <f t="shared" si="14"/>
        <v>Tue</v>
      </c>
      <c r="F68" s="14" t="s">
        <v>28</v>
      </c>
      <c r="G68" s="14" t="str">
        <f t="shared" si="15"/>
        <v>Week 3</v>
      </c>
      <c r="H68" s="14" t="str">
        <f t="shared" si="16"/>
        <v>Weekday</v>
      </c>
      <c r="I68" s="14" t="str">
        <f t="shared" si="17"/>
        <v>Mar</v>
      </c>
      <c r="J68" s="15" t="s">
        <v>38</v>
      </c>
      <c r="K68" s="15" t="s">
        <v>39</v>
      </c>
      <c r="L68" s="15" t="s">
        <v>33</v>
      </c>
      <c r="M68" s="13">
        <v>3</v>
      </c>
      <c r="N68" s="15">
        <v>965</v>
      </c>
      <c r="O68" s="15">
        <v>915</v>
      </c>
      <c r="P68" s="16">
        <f t="shared" si="18"/>
        <v>0.94818652849740936</v>
      </c>
      <c r="Q68" s="15" t="str">
        <f t="shared" si="19"/>
        <v>P1 Attention</v>
      </c>
      <c r="R68" s="15">
        <v>30</v>
      </c>
      <c r="S68" s="16">
        <f t="shared" si="20"/>
        <v>3.2786885245901641E-2</v>
      </c>
      <c r="T68" s="15" t="str">
        <f t="shared" si="21"/>
        <v>P1 Attention</v>
      </c>
      <c r="U68" s="15">
        <v>20</v>
      </c>
      <c r="V68" s="16">
        <f t="shared" si="22"/>
        <v>0.66666666666666663</v>
      </c>
      <c r="W68" s="15"/>
      <c r="X68" s="16">
        <f t="shared" si="23"/>
        <v>2.072538860103627E-2</v>
      </c>
      <c r="Y68" s="15" t="str">
        <f t="shared" si="24"/>
        <v>P2 Observe</v>
      </c>
      <c r="Z68" s="13">
        <v>26</v>
      </c>
      <c r="AA68" s="17">
        <f t="shared" si="25"/>
        <v>0</v>
      </c>
    </row>
    <row r="69" spans="1:27" ht="16.5" x14ac:dyDescent="0.55000000000000004">
      <c r="A69" s="12" t="s">
        <v>55</v>
      </c>
      <c r="B69" s="13">
        <f>COUNTIFS($A$2:A69,A69)</f>
        <v>4</v>
      </c>
      <c r="C69" s="13">
        <f t="shared" si="13"/>
        <v>0.25</v>
      </c>
      <c r="D69" s="14">
        <v>46098</v>
      </c>
      <c r="E69" s="14" t="str">
        <f t="shared" si="14"/>
        <v>Tue</v>
      </c>
      <c r="F69" s="14" t="s">
        <v>28</v>
      </c>
      <c r="G69" s="14" t="str">
        <f t="shared" si="15"/>
        <v>Week 3</v>
      </c>
      <c r="H69" s="14" t="str">
        <f t="shared" si="16"/>
        <v>Weekday</v>
      </c>
      <c r="I69" s="14" t="str">
        <f t="shared" si="17"/>
        <v>Mar</v>
      </c>
      <c r="J69" s="15" t="s">
        <v>38</v>
      </c>
      <c r="K69" s="15" t="s">
        <v>39</v>
      </c>
      <c r="L69" s="15" t="s">
        <v>34</v>
      </c>
      <c r="M69" s="13">
        <v>4</v>
      </c>
      <c r="N69" s="15">
        <v>930</v>
      </c>
      <c r="O69" s="15">
        <v>880</v>
      </c>
      <c r="P69" s="16">
        <f t="shared" si="18"/>
        <v>0.94623655913978499</v>
      </c>
      <c r="Q69" s="15" t="str">
        <f t="shared" si="19"/>
        <v>P1 Attention</v>
      </c>
      <c r="R69" s="15">
        <v>30</v>
      </c>
      <c r="S69" s="16">
        <f t="shared" si="20"/>
        <v>3.4090909090909088E-2</v>
      </c>
      <c r="T69" s="15" t="str">
        <f t="shared" si="21"/>
        <v>P1 Attention</v>
      </c>
      <c r="U69" s="15">
        <v>20</v>
      </c>
      <c r="V69" s="16">
        <f t="shared" si="22"/>
        <v>0.66666666666666663</v>
      </c>
      <c r="W69" s="15"/>
      <c r="X69" s="16">
        <f t="shared" si="23"/>
        <v>2.1505376344086023E-2</v>
      </c>
      <c r="Y69" s="15" t="str">
        <f t="shared" si="24"/>
        <v>P2 Observe</v>
      </c>
      <c r="Z69" s="13">
        <v>24</v>
      </c>
      <c r="AA69" s="17">
        <f t="shared" si="25"/>
        <v>0</v>
      </c>
    </row>
    <row r="70" spans="1:27" ht="16.5" x14ac:dyDescent="0.55000000000000004">
      <c r="A70" s="12" t="s">
        <v>56</v>
      </c>
      <c r="B70" s="13">
        <f>COUNTIFS($A$2:A70,A70)</f>
        <v>1</v>
      </c>
      <c r="C70" s="13">
        <f t="shared" si="13"/>
        <v>0.25</v>
      </c>
      <c r="D70" s="14">
        <v>46099</v>
      </c>
      <c r="E70" s="14" t="str">
        <f t="shared" si="14"/>
        <v>Wed</v>
      </c>
      <c r="F70" s="14" t="s">
        <v>28</v>
      </c>
      <c r="G70" s="14" t="str">
        <f t="shared" si="15"/>
        <v>Week 3</v>
      </c>
      <c r="H70" s="14" t="str">
        <f t="shared" si="16"/>
        <v>Weekday</v>
      </c>
      <c r="I70" s="14" t="str">
        <f t="shared" si="17"/>
        <v>Mar</v>
      </c>
      <c r="J70" s="15" t="s">
        <v>42</v>
      </c>
      <c r="K70" s="15" t="s">
        <v>43</v>
      </c>
      <c r="L70" s="15" t="s">
        <v>31</v>
      </c>
      <c r="M70" s="13">
        <v>1</v>
      </c>
      <c r="N70" s="15">
        <v>1000</v>
      </c>
      <c r="O70" s="15">
        <v>955</v>
      </c>
      <c r="P70" s="16">
        <f t="shared" si="18"/>
        <v>0.95499999999999996</v>
      </c>
      <c r="Q70" s="15" t="str">
        <f t="shared" si="19"/>
        <v>P2 Observe</v>
      </c>
      <c r="R70" s="15">
        <v>30</v>
      </c>
      <c r="S70" s="16">
        <f t="shared" si="20"/>
        <v>3.1413612565445025E-2</v>
      </c>
      <c r="T70" s="15" t="str">
        <f t="shared" si="21"/>
        <v>P0 Critical</v>
      </c>
      <c r="U70" s="15">
        <v>15</v>
      </c>
      <c r="V70" s="16">
        <f t="shared" si="22"/>
        <v>0.5</v>
      </c>
      <c r="W70" s="15"/>
      <c r="X70" s="16">
        <f t="shared" si="23"/>
        <v>1.4999999999999999E-2</v>
      </c>
      <c r="Y70" s="15" t="str">
        <f t="shared" si="24"/>
        <v>P0 Critical</v>
      </c>
      <c r="Z70" s="13">
        <v>22</v>
      </c>
      <c r="AA70" s="17">
        <f t="shared" si="25"/>
        <v>0</v>
      </c>
    </row>
    <row r="71" spans="1:27" ht="16.5" x14ac:dyDescent="0.55000000000000004">
      <c r="A71" s="12" t="s">
        <v>56</v>
      </c>
      <c r="B71" s="13">
        <f>COUNTIFS($A$2:A71,A71)</f>
        <v>2</v>
      </c>
      <c r="C71" s="13">
        <f t="shared" si="13"/>
        <v>0.25</v>
      </c>
      <c r="D71" s="14">
        <v>46099</v>
      </c>
      <c r="E71" s="14" t="str">
        <f t="shared" si="14"/>
        <v>Wed</v>
      </c>
      <c r="F71" s="14" t="s">
        <v>28</v>
      </c>
      <c r="G71" s="14" t="str">
        <f t="shared" si="15"/>
        <v>Week 3</v>
      </c>
      <c r="H71" s="14" t="str">
        <f t="shared" si="16"/>
        <v>Weekday</v>
      </c>
      <c r="I71" s="14" t="str">
        <f t="shared" si="17"/>
        <v>Mar</v>
      </c>
      <c r="J71" s="15" t="s">
        <v>42</v>
      </c>
      <c r="K71" s="15" t="s">
        <v>43</v>
      </c>
      <c r="L71" s="15" t="s">
        <v>32</v>
      </c>
      <c r="M71" s="13">
        <v>2</v>
      </c>
      <c r="N71" s="15">
        <v>965</v>
      </c>
      <c r="O71" s="15">
        <v>910</v>
      </c>
      <c r="P71" s="16">
        <f t="shared" si="18"/>
        <v>0.94300518134715028</v>
      </c>
      <c r="Q71" s="15" t="str">
        <f t="shared" si="19"/>
        <v>P0 Critical</v>
      </c>
      <c r="R71" s="15">
        <v>35</v>
      </c>
      <c r="S71" s="16">
        <f t="shared" si="20"/>
        <v>3.8461538461538464E-2</v>
      </c>
      <c r="T71" s="15" t="str">
        <f t="shared" si="21"/>
        <v>P2 Observe</v>
      </c>
      <c r="U71" s="15">
        <v>20</v>
      </c>
      <c r="V71" s="16">
        <f t="shared" si="22"/>
        <v>0.5714285714285714</v>
      </c>
      <c r="W71" s="15"/>
      <c r="X71" s="16">
        <f t="shared" si="23"/>
        <v>2.072538860103627E-2</v>
      </c>
      <c r="Y71" s="15" t="str">
        <f t="shared" si="24"/>
        <v>P2 Observe</v>
      </c>
      <c r="Z71" s="13">
        <v>34</v>
      </c>
      <c r="AA71" s="17">
        <f t="shared" si="25"/>
        <v>0</v>
      </c>
    </row>
    <row r="72" spans="1:27" ht="16.5" x14ac:dyDescent="0.55000000000000004">
      <c r="A72" s="12" t="s">
        <v>56</v>
      </c>
      <c r="B72" s="13">
        <f>COUNTIFS($A$2:A72,A72)</f>
        <v>3</v>
      </c>
      <c r="C72" s="13">
        <f t="shared" si="13"/>
        <v>0.25</v>
      </c>
      <c r="D72" s="14">
        <v>46099</v>
      </c>
      <c r="E72" s="14" t="str">
        <f t="shared" si="14"/>
        <v>Wed</v>
      </c>
      <c r="F72" s="14" t="s">
        <v>28</v>
      </c>
      <c r="G72" s="14" t="str">
        <f t="shared" si="15"/>
        <v>Week 3</v>
      </c>
      <c r="H72" s="14" t="str">
        <f t="shared" si="16"/>
        <v>Weekday</v>
      </c>
      <c r="I72" s="14" t="str">
        <f t="shared" si="17"/>
        <v>Mar</v>
      </c>
      <c r="J72" s="15" t="s">
        <v>42</v>
      </c>
      <c r="K72" s="15" t="s">
        <v>43</v>
      </c>
      <c r="L72" s="15" t="s">
        <v>33</v>
      </c>
      <c r="M72" s="13">
        <v>3</v>
      </c>
      <c r="N72" s="15">
        <v>985</v>
      </c>
      <c r="O72" s="15">
        <v>930</v>
      </c>
      <c r="P72" s="16">
        <f t="shared" si="18"/>
        <v>0.9441624365482234</v>
      </c>
      <c r="Q72" s="15" t="str">
        <f t="shared" si="19"/>
        <v>P0 Critical</v>
      </c>
      <c r="R72" s="15">
        <v>35</v>
      </c>
      <c r="S72" s="16">
        <f t="shared" si="20"/>
        <v>3.7634408602150539E-2</v>
      </c>
      <c r="T72" s="15" t="str">
        <f t="shared" si="21"/>
        <v>P2 Observe</v>
      </c>
      <c r="U72" s="15">
        <v>20</v>
      </c>
      <c r="V72" s="16">
        <f t="shared" si="22"/>
        <v>0.5714285714285714</v>
      </c>
      <c r="W72" s="15"/>
      <c r="X72" s="16">
        <f t="shared" si="23"/>
        <v>2.030456852791878E-2</v>
      </c>
      <c r="Y72" s="15" t="str">
        <f t="shared" si="24"/>
        <v>P2 Observe</v>
      </c>
      <c r="Z72" s="13">
        <v>30</v>
      </c>
      <c r="AA72" s="17">
        <f t="shared" si="25"/>
        <v>0</v>
      </c>
    </row>
    <row r="73" spans="1:27" ht="16.5" x14ac:dyDescent="0.55000000000000004">
      <c r="A73" s="12" t="s">
        <v>56</v>
      </c>
      <c r="B73" s="13">
        <f>COUNTIFS($A$2:A73,A73)</f>
        <v>4</v>
      </c>
      <c r="C73" s="13">
        <f t="shared" si="13"/>
        <v>0.25</v>
      </c>
      <c r="D73" s="14">
        <v>46099</v>
      </c>
      <c r="E73" s="14" t="str">
        <f t="shared" si="14"/>
        <v>Wed</v>
      </c>
      <c r="F73" s="14" t="s">
        <v>28</v>
      </c>
      <c r="G73" s="14" t="str">
        <f t="shared" si="15"/>
        <v>Week 3</v>
      </c>
      <c r="H73" s="14" t="str">
        <f t="shared" si="16"/>
        <v>Weekday</v>
      </c>
      <c r="I73" s="14" t="str">
        <f t="shared" si="17"/>
        <v>Mar</v>
      </c>
      <c r="J73" s="15" t="s">
        <v>42</v>
      </c>
      <c r="K73" s="15" t="s">
        <v>43</v>
      </c>
      <c r="L73" s="15" t="s">
        <v>34</v>
      </c>
      <c r="M73" s="13">
        <v>4</v>
      </c>
      <c r="N73" s="15">
        <v>945</v>
      </c>
      <c r="O73" s="15">
        <v>890</v>
      </c>
      <c r="P73" s="16">
        <f t="shared" si="18"/>
        <v>0.94179894179894175</v>
      </c>
      <c r="Q73" s="15" t="str">
        <f t="shared" si="19"/>
        <v>P0 Critical</v>
      </c>
      <c r="R73" s="15">
        <v>35</v>
      </c>
      <c r="S73" s="16">
        <f t="shared" si="20"/>
        <v>3.9325842696629212E-2</v>
      </c>
      <c r="T73" s="15" t="str">
        <f t="shared" si="21"/>
        <v>P2 Observe</v>
      </c>
      <c r="U73" s="15">
        <v>20</v>
      </c>
      <c r="V73" s="16">
        <f t="shared" si="22"/>
        <v>0.5714285714285714</v>
      </c>
      <c r="W73" s="15"/>
      <c r="X73" s="16">
        <f t="shared" si="23"/>
        <v>2.1164021164021163E-2</v>
      </c>
      <c r="Y73" s="15" t="str">
        <f t="shared" si="24"/>
        <v>P2 Observe</v>
      </c>
      <c r="Z73" s="13">
        <v>28</v>
      </c>
      <c r="AA73" s="17">
        <f t="shared" si="25"/>
        <v>0</v>
      </c>
    </row>
    <row r="74" spans="1:27" ht="16.5" x14ac:dyDescent="0.55000000000000004">
      <c r="A74" s="12" t="s">
        <v>57</v>
      </c>
      <c r="B74" s="13">
        <f>COUNTIFS($A$2:A74,A74)</f>
        <v>1</v>
      </c>
      <c r="C74" s="13">
        <f t="shared" si="13"/>
        <v>0.25</v>
      </c>
      <c r="D74" s="14">
        <v>46100</v>
      </c>
      <c r="E74" s="14" t="str">
        <f t="shared" si="14"/>
        <v>Thu</v>
      </c>
      <c r="F74" s="14" t="s">
        <v>28</v>
      </c>
      <c r="G74" s="14" t="str">
        <f t="shared" si="15"/>
        <v>Week 3</v>
      </c>
      <c r="H74" s="14" t="str">
        <f t="shared" si="16"/>
        <v>Weekday</v>
      </c>
      <c r="I74" s="14" t="str">
        <f t="shared" si="17"/>
        <v>Mar</v>
      </c>
      <c r="J74" s="15" t="s">
        <v>29</v>
      </c>
      <c r="K74" s="15" t="s">
        <v>30</v>
      </c>
      <c r="L74" s="15" t="s">
        <v>31</v>
      </c>
      <c r="M74" s="13">
        <v>1</v>
      </c>
      <c r="N74" s="15">
        <v>1110</v>
      </c>
      <c r="O74" s="15">
        <v>1065</v>
      </c>
      <c r="P74" s="16">
        <f t="shared" si="18"/>
        <v>0.95945945945945943</v>
      </c>
      <c r="Q74" s="15" t="str">
        <f t="shared" si="19"/>
        <v>P2 Observe</v>
      </c>
      <c r="R74" s="15">
        <v>30</v>
      </c>
      <c r="S74" s="16">
        <f t="shared" si="20"/>
        <v>2.8169014084507043E-2</v>
      </c>
      <c r="T74" s="15" t="str">
        <f t="shared" si="21"/>
        <v>P0 Critical</v>
      </c>
      <c r="U74" s="15">
        <v>15</v>
      </c>
      <c r="V74" s="16">
        <f t="shared" si="22"/>
        <v>0.5</v>
      </c>
      <c r="W74" s="15"/>
      <c r="X74" s="16">
        <f t="shared" si="23"/>
        <v>1.3513513513513514E-2</v>
      </c>
      <c r="Y74" s="15" t="str">
        <f t="shared" si="24"/>
        <v>P0 Critical</v>
      </c>
      <c r="Z74" s="13">
        <v>21</v>
      </c>
      <c r="AA74" s="17">
        <f t="shared" si="25"/>
        <v>0</v>
      </c>
    </row>
    <row r="75" spans="1:27" ht="16.5" x14ac:dyDescent="0.55000000000000004">
      <c r="A75" s="12" t="s">
        <v>57</v>
      </c>
      <c r="B75" s="13">
        <f>COUNTIFS($A$2:A75,A75)</f>
        <v>2</v>
      </c>
      <c r="C75" s="13">
        <f t="shared" si="13"/>
        <v>0.25</v>
      </c>
      <c r="D75" s="14">
        <v>46100</v>
      </c>
      <c r="E75" s="14" t="str">
        <f t="shared" si="14"/>
        <v>Thu</v>
      </c>
      <c r="F75" s="14" t="s">
        <v>28</v>
      </c>
      <c r="G75" s="14" t="str">
        <f t="shared" si="15"/>
        <v>Week 3</v>
      </c>
      <c r="H75" s="14" t="str">
        <f t="shared" si="16"/>
        <v>Weekday</v>
      </c>
      <c r="I75" s="14" t="str">
        <f t="shared" si="17"/>
        <v>Mar</v>
      </c>
      <c r="J75" s="15" t="s">
        <v>29</v>
      </c>
      <c r="K75" s="15" t="s">
        <v>30</v>
      </c>
      <c r="L75" s="15" t="s">
        <v>32</v>
      </c>
      <c r="M75" s="13">
        <v>2</v>
      </c>
      <c r="N75" s="15">
        <v>1075</v>
      </c>
      <c r="O75" s="15">
        <v>1020</v>
      </c>
      <c r="P75" s="16">
        <f t="shared" si="18"/>
        <v>0.94883720930232562</v>
      </c>
      <c r="Q75" s="15" t="str">
        <f t="shared" si="19"/>
        <v>P1 Attention</v>
      </c>
      <c r="R75" s="15">
        <v>35</v>
      </c>
      <c r="S75" s="16">
        <f t="shared" si="20"/>
        <v>3.4313725490196081E-2</v>
      </c>
      <c r="T75" s="15" t="str">
        <f t="shared" si="21"/>
        <v>P1 Attention</v>
      </c>
      <c r="U75" s="15">
        <v>20</v>
      </c>
      <c r="V75" s="16">
        <f t="shared" si="22"/>
        <v>0.5714285714285714</v>
      </c>
      <c r="W75" s="15"/>
      <c r="X75" s="16">
        <f t="shared" si="23"/>
        <v>1.8604651162790697E-2</v>
      </c>
      <c r="Y75" s="15" t="str">
        <f t="shared" si="24"/>
        <v>P1 Attention</v>
      </c>
      <c r="Z75" s="13">
        <v>37</v>
      </c>
      <c r="AA75" s="17">
        <f t="shared" si="25"/>
        <v>0</v>
      </c>
    </row>
    <row r="76" spans="1:27" ht="16.5" x14ac:dyDescent="0.55000000000000004">
      <c r="A76" s="12" t="s">
        <v>57</v>
      </c>
      <c r="B76" s="13">
        <f>COUNTIFS($A$2:A76,A76)</f>
        <v>3</v>
      </c>
      <c r="C76" s="13">
        <f t="shared" si="13"/>
        <v>0.25</v>
      </c>
      <c r="D76" s="14">
        <v>46100</v>
      </c>
      <c r="E76" s="14" t="str">
        <f t="shared" si="14"/>
        <v>Thu</v>
      </c>
      <c r="F76" s="14" t="s">
        <v>28</v>
      </c>
      <c r="G76" s="14" t="str">
        <f t="shared" si="15"/>
        <v>Week 3</v>
      </c>
      <c r="H76" s="14" t="str">
        <f t="shared" si="16"/>
        <v>Weekday</v>
      </c>
      <c r="I76" s="14" t="str">
        <f t="shared" si="17"/>
        <v>Mar</v>
      </c>
      <c r="J76" s="15" t="s">
        <v>29</v>
      </c>
      <c r="K76" s="15" t="s">
        <v>30</v>
      </c>
      <c r="L76" s="15" t="s">
        <v>33</v>
      </c>
      <c r="M76" s="13">
        <v>3</v>
      </c>
      <c r="N76" s="15">
        <v>1095</v>
      </c>
      <c r="O76" s="15">
        <v>1040</v>
      </c>
      <c r="P76" s="16">
        <f t="shared" si="18"/>
        <v>0.94977168949771684</v>
      </c>
      <c r="Q76" s="15" t="str">
        <f t="shared" si="19"/>
        <v>P1 Attention</v>
      </c>
      <c r="R76" s="15">
        <v>35</v>
      </c>
      <c r="S76" s="16">
        <f t="shared" si="20"/>
        <v>3.3653846153846152E-2</v>
      </c>
      <c r="T76" s="15" t="str">
        <f t="shared" si="21"/>
        <v>P1 Attention</v>
      </c>
      <c r="U76" s="15">
        <v>20</v>
      </c>
      <c r="V76" s="16">
        <f t="shared" si="22"/>
        <v>0.5714285714285714</v>
      </c>
      <c r="W76" s="15"/>
      <c r="X76" s="16">
        <f t="shared" si="23"/>
        <v>1.8264840182648401E-2</v>
      </c>
      <c r="Y76" s="15" t="str">
        <f t="shared" si="24"/>
        <v>P0 Critical</v>
      </c>
      <c r="Z76" s="13">
        <v>33</v>
      </c>
      <c r="AA76" s="17">
        <f t="shared" si="25"/>
        <v>0</v>
      </c>
    </row>
    <row r="77" spans="1:27" ht="16.5" x14ac:dyDescent="0.55000000000000004">
      <c r="A77" s="12" t="s">
        <v>57</v>
      </c>
      <c r="B77" s="13">
        <f>COUNTIFS($A$2:A77,A77)</f>
        <v>4</v>
      </c>
      <c r="C77" s="13">
        <f t="shared" si="13"/>
        <v>0.25</v>
      </c>
      <c r="D77" s="14">
        <v>46100</v>
      </c>
      <c r="E77" s="14" t="str">
        <f t="shared" si="14"/>
        <v>Thu</v>
      </c>
      <c r="F77" s="14" t="s">
        <v>28</v>
      </c>
      <c r="G77" s="14" t="str">
        <f t="shared" si="15"/>
        <v>Week 3</v>
      </c>
      <c r="H77" s="14" t="str">
        <f t="shared" si="16"/>
        <v>Weekday</v>
      </c>
      <c r="I77" s="14" t="str">
        <f t="shared" si="17"/>
        <v>Mar</v>
      </c>
      <c r="J77" s="15" t="s">
        <v>29</v>
      </c>
      <c r="K77" s="15" t="s">
        <v>30</v>
      </c>
      <c r="L77" s="15" t="s">
        <v>34</v>
      </c>
      <c r="M77" s="13">
        <v>4</v>
      </c>
      <c r="N77" s="15">
        <v>1055</v>
      </c>
      <c r="O77" s="15">
        <v>1000</v>
      </c>
      <c r="P77" s="16">
        <f t="shared" si="18"/>
        <v>0.94786729857819907</v>
      </c>
      <c r="Q77" s="15" t="str">
        <f t="shared" si="19"/>
        <v>P1 Attention</v>
      </c>
      <c r="R77" s="15">
        <v>35</v>
      </c>
      <c r="S77" s="16">
        <f t="shared" si="20"/>
        <v>3.5000000000000003E-2</v>
      </c>
      <c r="T77" s="15" t="str">
        <f t="shared" si="21"/>
        <v>P1 Attention</v>
      </c>
      <c r="U77" s="15">
        <v>20</v>
      </c>
      <c r="V77" s="16">
        <f t="shared" si="22"/>
        <v>0.5714285714285714</v>
      </c>
      <c r="W77" s="15"/>
      <c r="X77" s="16">
        <f t="shared" si="23"/>
        <v>1.8957345971563982E-2</v>
      </c>
      <c r="Y77" s="15" t="str">
        <f t="shared" si="24"/>
        <v>P1 Attention</v>
      </c>
      <c r="Z77" s="13">
        <v>29</v>
      </c>
      <c r="AA77" s="17">
        <f t="shared" si="25"/>
        <v>0</v>
      </c>
    </row>
    <row r="78" spans="1:27" ht="16.5" x14ac:dyDescent="0.55000000000000004">
      <c r="A78" s="12" t="s">
        <v>58</v>
      </c>
      <c r="B78" s="13">
        <f>COUNTIFS($A$2:A78,A78)</f>
        <v>1</v>
      </c>
      <c r="C78" s="13">
        <f t="shared" si="13"/>
        <v>0.25</v>
      </c>
      <c r="D78" s="14">
        <v>46101</v>
      </c>
      <c r="E78" s="14" t="str">
        <f t="shared" si="14"/>
        <v>Fri</v>
      </c>
      <c r="F78" s="14" t="s">
        <v>28</v>
      </c>
      <c r="G78" s="14" t="str">
        <f t="shared" si="15"/>
        <v>Week 3</v>
      </c>
      <c r="H78" s="14" t="str">
        <f t="shared" si="16"/>
        <v>Weekday</v>
      </c>
      <c r="I78" s="14" t="str">
        <f t="shared" si="17"/>
        <v>Mar</v>
      </c>
      <c r="J78" s="15" t="s">
        <v>38</v>
      </c>
      <c r="K78" s="15" t="s">
        <v>39</v>
      </c>
      <c r="L78" s="15" t="s">
        <v>31</v>
      </c>
      <c r="M78" s="13">
        <v>1</v>
      </c>
      <c r="N78" s="15">
        <v>970</v>
      </c>
      <c r="O78" s="15">
        <v>930</v>
      </c>
      <c r="P78" s="16">
        <f t="shared" si="18"/>
        <v>0.95876288659793818</v>
      </c>
      <c r="Q78" s="15" t="str">
        <f t="shared" si="19"/>
        <v>P2 Observe</v>
      </c>
      <c r="R78" s="15">
        <v>25</v>
      </c>
      <c r="S78" s="16">
        <f t="shared" si="20"/>
        <v>2.6881720430107527E-2</v>
      </c>
      <c r="T78" s="15" t="str">
        <f t="shared" si="21"/>
        <v>P0 Critical</v>
      </c>
      <c r="U78" s="15">
        <v>15</v>
      </c>
      <c r="V78" s="16">
        <f t="shared" si="22"/>
        <v>0.6</v>
      </c>
      <c r="W78" s="15"/>
      <c r="X78" s="16">
        <f t="shared" si="23"/>
        <v>1.5463917525773196E-2</v>
      </c>
      <c r="Y78" s="15" t="str">
        <f t="shared" si="24"/>
        <v>P0 Critical</v>
      </c>
      <c r="Z78" s="13">
        <v>18</v>
      </c>
      <c r="AA78" s="17">
        <f t="shared" si="25"/>
        <v>0</v>
      </c>
    </row>
    <row r="79" spans="1:27" ht="16.5" x14ac:dyDescent="0.55000000000000004">
      <c r="A79" s="12" t="s">
        <v>58</v>
      </c>
      <c r="B79" s="13">
        <f>COUNTIFS($A$2:A79,A79)</f>
        <v>2</v>
      </c>
      <c r="C79" s="13">
        <f t="shared" si="13"/>
        <v>0.25</v>
      </c>
      <c r="D79" s="14">
        <v>46101</v>
      </c>
      <c r="E79" s="14" t="str">
        <f t="shared" si="14"/>
        <v>Fri</v>
      </c>
      <c r="F79" s="14" t="s">
        <v>28</v>
      </c>
      <c r="G79" s="14" t="str">
        <f t="shared" si="15"/>
        <v>Week 3</v>
      </c>
      <c r="H79" s="14" t="str">
        <f t="shared" si="16"/>
        <v>Weekday</v>
      </c>
      <c r="I79" s="14" t="str">
        <f t="shared" si="17"/>
        <v>Mar</v>
      </c>
      <c r="J79" s="15" t="s">
        <v>38</v>
      </c>
      <c r="K79" s="15" t="s">
        <v>39</v>
      </c>
      <c r="L79" s="15" t="s">
        <v>32</v>
      </c>
      <c r="M79" s="13">
        <v>2</v>
      </c>
      <c r="N79" s="15">
        <v>935</v>
      </c>
      <c r="O79" s="15">
        <v>885</v>
      </c>
      <c r="P79" s="16">
        <f t="shared" si="18"/>
        <v>0.946524064171123</v>
      </c>
      <c r="Q79" s="15" t="str">
        <f t="shared" si="19"/>
        <v>P1 Attention</v>
      </c>
      <c r="R79" s="15">
        <v>35</v>
      </c>
      <c r="S79" s="16">
        <f t="shared" si="20"/>
        <v>3.954802259887006E-2</v>
      </c>
      <c r="T79" s="15" t="str">
        <f t="shared" si="21"/>
        <v>P2 Observe</v>
      </c>
      <c r="U79" s="15">
        <v>15</v>
      </c>
      <c r="V79" s="16">
        <f t="shared" si="22"/>
        <v>0.42857142857142855</v>
      </c>
      <c r="W79" s="15"/>
      <c r="X79" s="16">
        <f t="shared" si="23"/>
        <v>1.6042780748663103E-2</v>
      </c>
      <c r="Y79" s="15" t="str">
        <f t="shared" si="24"/>
        <v>P0 Critical</v>
      </c>
      <c r="Z79" s="13">
        <v>30</v>
      </c>
      <c r="AA79" s="17">
        <f t="shared" si="25"/>
        <v>0</v>
      </c>
    </row>
    <row r="80" spans="1:27" ht="16.5" x14ac:dyDescent="0.55000000000000004">
      <c r="A80" s="12" t="s">
        <v>58</v>
      </c>
      <c r="B80" s="13">
        <f>COUNTIFS($A$2:A80,A80)</f>
        <v>3</v>
      </c>
      <c r="C80" s="13">
        <f t="shared" si="13"/>
        <v>0.25</v>
      </c>
      <c r="D80" s="14">
        <v>46101</v>
      </c>
      <c r="E80" s="14" t="str">
        <f t="shared" si="14"/>
        <v>Fri</v>
      </c>
      <c r="F80" s="14" t="s">
        <v>28</v>
      </c>
      <c r="G80" s="14" t="str">
        <f t="shared" si="15"/>
        <v>Week 3</v>
      </c>
      <c r="H80" s="14" t="str">
        <f t="shared" si="16"/>
        <v>Weekday</v>
      </c>
      <c r="I80" s="14" t="str">
        <f t="shared" si="17"/>
        <v>Mar</v>
      </c>
      <c r="J80" s="15" t="s">
        <v>38</v>
      </c>
      <c r="K80" s="15" t="s">
        <v>39</v>
      </c>
      <c r="L80" s="15" t="s">
        <v>33</v>
      </c>
      <c r="M80" s="13">
        <v>3</v>
      </c>
      <c r="N80" s="15">
        <v>955</v>
      </c>
      <c r="O80" s="15">
        <v>905</v>
      </c>
      <c r="P80" s="16">
        <f t="shared" si="18"/>
        <v>0.94764397905759157</v>
      </c>
      <c r="Q80" s="15" t="str">
        <f t="shared" si="19"/>
        <v>P1 Attention</v>
      </c>
      <c r="R80" s="15">
        <v>30</v>
      </c>
      <c r="S80" s="16">
        <f t="shared" si="20"/>
        <v>3.3149171270718231E-2</v>
      </c>
      <c r="T80" s="15" t="str">
        <f t="shared" si="21"/>
        <v>P1 Attention</v>
      </c>
      <c r="U80" s="15">
        <v>20</v>
      </c>
      <c r="V80" s="16">
        <f t="shared" si="22"/>
        <v>0.66666666666666663</v>
      </c>
      <c r="W80" s="15"/>
      <c r="X80" s="16">
        <f t="shared" si="23"/>
        <v>2.0942408376963352E-2</v>
      </c>
      <c r="Y80" s="15" t="str">
        <f t="shared" si="24"/>
        <v>P2 Observe</v>
      </c>
      <c r="Z80" s="13">
        <v>26</v>
      </c>
      <c r="AA80" s="17">
        <f t="shared" si="25"/>
        <v>0</v>
      </c>
    </row>
    <row r="81" spans="1:27" ht="16.5" x14ac:dyDescent="0.55000000000000004">
      <c r="A81" s="12" t="s">
        <v>58</v>
      </c>
      <c r="B81" s="13">
        <f>COUNTIFS($A$2:A81,A81)</f>
        <v>4</v>
      </c>
      <c r="C81" s="13">
        <f t="shared" si="13"/>
        <v>0.25</v>
      </c>
      <c r="D81" s="14">
        <v>46101</v>
      </c>
      <c r="E81" s="14" t="str">
        <f t="shared" si="14"/>
        <v>Fri</v>
      </c>
      <c r="F81" s="14" t="s">
        <v>28</v>
      </c>
      <c r="G81" s="14" t="str">
        <f t="shared" si="15"/>
        <v>Week 3</v>
      </c>
      <c r="H81" s="14" t="str">
        <f t="shared" si="16"/>
        <v>Weekday</v>
      </c>
      <c r="I81" s="14" t="str">
        <f t="shared" si="17"/>
        <v>Mar</v>
      </c>
      <c r="J81" s="15" t="s">
        <v>38</v>
      </c>
      <c r="K81" s="15" t="s">
        <v>39</v>
      </c>
      <c r="L81" s="15" t="s">
        <v>34</v>
      </c>
      <c r="M81" s="13">
        <v>4</v>
      </c>
      <c r="N81" s="15">
        <v>920</v>
      </c>
      <c r="O81" s="15">
        <v>870</v>
      </c>
      <c r="P81" s="16">
        <f t="shared" si="18"/>
        <v>0.94565217391304346</v>
      </c>
      <c r="Q81" s="15" t="str">
        <f t="shared" si="19"/>
        <v>P1 Attention</v>
      </c>
      <c r="R81" s="15">
        <v>30</v>
      </c>
      <c r="S81" s="16">
        <f t="shared" si="20"/>
        <v>3.4482758620689655E-2</v>
      </c>
      <c r="T81" s="15" t="str">
        <f t="shared" si="21"/>
        <v>P1 Attention</v>
      </c>
      <c r="U81" s="15">
        <v>20</v>
      </c>
      <c r="V81" s="16">
        <f t="shared" si="22"/>
        <v>0.66666666666666663</v>
      </c>
      <c r="W81" s="15"/>
      <c r="X81" s="16">
        <f t="shared" si="23"/>
        <v>2.1739130434782608E-2</v>
      </c>
      <c r="Y81" s="15" t="str">
        <f t="shared" si="24"/>
        <v>P2 Observe</v>
      </c>
      <c r="Z81" s="13">
        <v>24</v>
      </c>
      <c r="AA81" s="17">
        <f t="shared" si="25"/>
        <v>0</v>
      </c>
    </row>
    <row r="82" spans="1:27" ht="16.5" x14ac:dyDescent="0.55000000000000004">
      <c r="A82" s="12" t="s">
        <v>59</v>
      </c>
      <c r="B82" s="13">
        <f>COUNTIFS($A$2:A82,A82)</f>
        <v>1</v>
      </c>
      <c r="C82" s="13">
        <f t="shared" si="13"/>
        <v>0.25</v>
      </c>
      <c r="D82" s="14">
        <v>46102</v>
      </c>
      <c r="E82" s="14" t="str">
        <f t="shared" si="14"/>
        <v>Sat</v>
      </c>
      <c r="F82" s="14" t="s">
        <v>36</v>
      </c>
      <c r="G82" s="14" t="str">
        <f t="shared" si="15"/>
        <v>Week 3</v>
      </c>
      <c r="H82" s="14" t="str">
        <f t="shared" si="16"/>
        <v>Weekend</v>
      </c>
      <c r="I82" s="14" t="str">
        <f t="shared" si="17"/>
        <v>Mar</v>
      </c>
      <c r="J82" s="15" t="s">
        <v>29</v>
      </c>
      <c r="K82" s="15" t="s">
        <v>30</v>
      </c>
      <c r="L82" s="15" t="s">
        <v>31</v>
      </c>
      <c r="M82" s="13">
        <v>1</v>
      </c>
      <c r="N82" s="15">
        <v>1020</v>
      </c>
      <c r="O82" s="15">
        <v>975</v>
      </c>
      <c r="P82" s="16">
        <f t="shared" si="18"/>
        <v>0.95588235294117652</v>
      </c>
      <c r="Q82" s="15" t="str">
        <f t="shared" si="19"/>
        <v>P2 Observe</v>
      </c>
      <c r="R82" s="15">
        <v>30</v>
      </c>
      <c r="S82" s="16">
        <f t="shared" si="20"/>
        <v>3.0769230769230771E-2</v>
      </c>
      <c r="T82" s="15" t="str">
        <f t="shared" si="21"/>
        <v>P0 Critical</v>
      </c>
      <c r="U82" s="15">
        <v>15</v>
      </c>
      <c r="V82" s="16">
        <f t="shared" si="22"/>
        <v>0.5</v>
      </c>
      <c r="W82" s="15"/>
      <c r="X82" s="16">
        <f t="shared" si="23"/>
        <v>1.4705882352941176E-2</v>
      </c>
      <c r="Y82" s="15" t="str">
        <f t="shared" si="24"/>
        <v>P0 Critical</v>
      </c>
      <c r="Z82" s="13">
        <v>23</v>
      </c>
      <c r="AA82" s="17">
        <f t="shared" si="25"/>
        <v>0</v>
      </c>
    </row>
    <row r="83" spans="1:27" ht="16.5" x14ac:dyDescent="0.55000000000000004">
      <c r="A83" s="12" t="s">
        <v>59</v>
      </c>
      <c r="B83" s="13">
        <f>COUNTIFS($A$2:A83,A83)</f>
        <v>2</v>
      </c>
      <c r="C83" s="13">
        <f t="shared" si="13"/>
        <v>0.25</v>
      </c>
      <c r="D83" s="14">
        <v>46102</v>
      </c>
      <c r="E83" s="14" t="str">
        <f t="shared" si="14"/>
        <v>Sat</v>
      </c>
      <c r="F83" s="14" t="s">
        <v>36</v>
      </c>
      <c r="G83" s="14" t="str">
        <f t="shared" si="15"/>
        <v>Week 3</v>
      </c>
      <c r="H83" s="14" t="str">
        <f t="shared" si="16"/>
        <v>Weekend</v>
      </c>
      <c r="I83" s="14" t="str">
        <f t="shared" si="17"/>
        <v>Mar</v>
      </c>
      <c r="J83" s="15" t="s">
        <v>29</v>
      </c>
      <c r="K83" s="15" t="s">
        <v>30</v>
      </c>
      <c r="L83" s="15" t="s">
        <v>32</v>
      </c>
      <c r="M83" s="13">
        <v>2</v>
      </c>
      <c r="N83" s="15">
        <v>985</v>
      </c>
      <c r="O83" s="15">
        <v>930</v>
      </c>
      <c r="P83" s="16">
        <f t="shared" si="18"/>
        <v>0.9441624365482234</v>
      </c>
      <c r="Q83" s="15" t="str">
        <f t="shared" si="19"/>
        <v>P0 Critical</v>
      </c>
      <c r="R83" s="15">
        <v>35</v>
      </c>
      <c r="S83" s="16">
        <f t="shared" si="20"/>
        <v>3.7634408602150539E-2</v>
      </c>
      <c r="T83" s="15" t="str">
        <f t="shared" si="21"/>
        <v>P2 Observe</v>
      </c>
      <c r="U83" s="15">
        <v>20</v>
      </c>
      <c r="V83" s="16">
        <f t="shared" si="22"/>
        <v>0.5714285714285714</v>
      </c>
      <c r="W83" s="15"/>
      <c r="X83" s="16">
        <f t="shared" si="23"/>
        <v>2.030456852791878E-2</v>
      </c>
      <c r="Y83" s="15" t="str">
        <f t="shared" si="24"/>
        <v>P2 Observe</v>
      </c>
      <c r="Z83" s="13">
        <v>36</v>
      </c>
      <c r="AA83" s="17">
        <f t="shared" si="25"/>
        <v>0</v>
      </c>
    </row>
    <row r="84" spans="1:27" ht="16.5" x14ac:dyDescent="0.55000000000000004">
      <c r="A84" s="12" t="s">
        <v>59</v>
      </c>
      <c r="B84" s="13">
        <f>COUNTIFS($A$2:A84,A84)</f>
        <v>3</v>
      </c>
      <c r="C84" s="13">
        <f t="shared" si="13"/>
        <v>0.25</v>
      </c>
      <c r="D84" s="14">
        <v>46102</v>
      </c>
      <c r="E84" s="14" t="str">
        <f t="shared" si="14"/>
        <v>Sat</v>
      </c>
      <c r="F84" s="14" t="s">
        <v>36</v>
      </c>
      <c r="G84" s="14" t="str">
        <f t="shared" si="15"/>
        <v>Week 3</v>
      </c>
      <c r="H84" s="14" t="str">
        <f t="shared" si="16"/>
        <v>Weekend</v>
      </c>
      <c r="I84" s="14" t="str">
        <f t="shared" si="17"/>
        <v>Mar</v>
      </c>
      <c r="J84" s="15" t="s">
        <v>29</v>
      </c>
      <c r="K84" s="15" t="s">
        <v>30</v>
      </c>
      <c r="L84" s="15" t="s">
        <v>33</v>
      </c>
      <c r="M84" s="13">
        <v>3</v>
      </c>
      <c r="N84" s="15">
        <v>1005</v>
      </c>
      <c r="O84" s="15">
        <v>950</v>
      </c>
      <c r="P84" s="16">
        <f t="shared" si="18"/>
        <v>0.94527363184079605</v>
      </c>
      <c r="Q84" s="15" t="str">
        <f t="shared" si="19"/>
        <v>P0 Critical</v>
      </c>
      <c r="R84" s="15">
        <v>35</v>
      </c>
      <c r="S84" s="16">
        <f t="shared" si="20"/>
        <v>3.6842105263157891E-2</v>
      </c>
      <c r="T84" s="15" t="str">
        <f t="shared" si="21"/>
        <v>P2 Observe</v>
      </c>
      <c r="U84" s="15">
        <v>20</v>
      </c>
      <c r="V84" s="16">
        <f t="shared" si="22"/>
        <v>0.5714285714285714</v>
      </c>
      <c r="W84" s="15"/>
      <c r="X84" s="16">
        <f t="shared" si="23"/>
        <v>1.9900497512437811E-2</v>
      </c>
      <c r="Y84" s="15" t="str">
        <f t="shared" si="24"/>
        <v>P1 Attention</v>
      </c>
      <c r="Z84" s="13">
        <v>31</v>
      </c>
      <c r="AA84" s="17">
        <f t="shared" si="25"/>
        <v>0</v>
      </c>
    </row>
    <row r="85" spans="1:27" ht="16.5" x14ac:dyDescent="0.55000000000000004">
      <c r="A85" s="12" t="s">
        <v>59</v>
      </c>
      <c r="B85" s="13">
        <f>COUNTIFS($A$2:A85,A85)</f>
        <v>4</v>
      </c>
      <c r="C85" s="13">
        <f t="shared" si="13"/>
        <v>0.25</v>
      </c>
      <c r="D85" s="14">
        <v>46102</v>
      </c>
      <c r="E85" s="14" t="str">
        <f t="shared" si="14"/>
        <v>Sat</v>
      </c>
      <c r="F85" s="14" t="s">
        <v>36</v>
      </c>
      <c r="G85" s="14" t="str">
        <f t="shared" si="15"/>
        <v>Week 3</v>
      </c>
      <c r="H85" s="14" t="str">
        <f t="shared" si="16"/>
        <v>Weekend</v>
      </c>
      <c r="I85" s="14" t="str">
        <f t="shared" si="17"/>
        <v>Mar</v>
      </c>
      <c r="J85" s="15" t="s">
        <v>29</v>
      </c>
      <c r="K85" s="15" t="s">
        <v>30</v>
      </c>
      <c r="L85" s="15" t="s">
        <v>34</v>
      </c>
      <c r="M85" s="13">
        <v>4</v>
      </c>
      <c r="N85" s="15">
        <v>965</v>
      </c>
      <c r="O85" s="15">
        <v>910</v>
      </c>
      <c r="P85" s="16">
        <f t="shared" si="18"/>
        <v>0.94300518134715028</v>
      </c>
      <c r="Q85" s="15" t="str">
        <f t="shared" si="19"/>
        <v>P0 Critical</v>
      </c>
      <c r="R85" s="15">
        <v>35</v>
      </c>
      <c r="S85" s="16">
        <f t="shared" si="20"/>
        <v>3.8461538461538464E-2</v>
      </c>
      <c r="T85" s="15" t="str">
        <f t="shared" si="21"/>
        <v>P2 Observe</v>
      </c>
      <c r="U85" s="15">
        <v>20</v>
      </c>
      <c r="V85" s="16">
        <f t="shared" si="22"/>
        <v>0.5714285714285714</v>
      </c>
      <c r="W85" s="15"/>
      <c r="X85" s="16">
        <f t="shared" si="23"/>
        <v>2.072538860103627E-2</v>
      </c>
      <c r="Y85" s="15" t="str">
        <f t="shared" si="24"/>
        <v>P2 Observe</v>
      </c>
      <c r="Z85" s="13">
        <v>29</v>
      </c>
      <c r="AA85" s="17">
        <f t="shared" si="25"/>
        <v>0</v>
      </c>
    </row>
    <row r="86" spans="1:27" ht="16.5" x14ac:dyDescent="0.55000000000000004">
      <c r="A86" s="12" t="s">
        <v>60</v>
      </c>
      <c r="B86" s="13">
        <f>COUNTIFS($A$2:A86,A86)</f>
        <v>1</v>
      </c>
      <c r="C86" s="13">
        <f t="shared" si="13"/>
        <v>0.25</v>
      </c>
      <c r="D86" s="14">
        <v>46103</v>
      </c>
      <c r="E86" s="14" t="str">
        <f t="shared" si="14"/>
        <v>Sun</v>
      </c>
      <c r="F86" s="14" t="s">
        <v>28</v>
      </c>
      <c r="G86" s="14" t="str">
        <f t="shared" si="15"/>
        <v>Week 4</v>
      </c>
      <c r="H86" s="14" t="str">
        <f t="shared" si="16"/>
        <v>Weekend</v>
      </c>
      <c r="I86" s="14" t="str">
        <f t="shared" si="17"/>
        <v>Mar</v>
      </c>
      <c r="J86" s="15" t="s">
        <v>38</v>
      </c>
      <c r="K86" s="15" t="s">
        <v>39</v>
      </c>
      <c r="L86" s="15" t="s">
        <v>31</v>
      </c>
      <c r="M86" s="13">
        <v>1</v>
      </c>
      <c r="N86" s="15">
        <v>950</v>
      </c>
      <c r="O86" s="15">
        <v>910</v>
      </c>
      <c r="P86" s="16">
        <f t="shared" si="18"/>
        <v>0.95789473684210524</v>
      </c>
      <c r="Q86" s="15" t="str">
        <f t="shared" si="19"/>
        <v>P2 Observe</v>
      </c>
      <c r="R86" s="15">
        <v>25</v>
      </c>
      <c r="S86" s="16">
        <f t="shared" si="20"/>
        <v>2.7472527472527472E-2</v>
      </c>
      <c r="T86" s="15" t="str">
        <f t="shared" si="21"/>
        <v>P0 Critical</v>
      </c>
      <c r="U86" s="15">
        <v>15</v>
      </c>
      <c r="V86" s="16">
        <f t="shared" si="22"/>
        <v>0.6</v>
      </c>
      <c r="W86" s="15"/>
      <c r="X86" s="16">
        <f t="shared" si="23"/>
        <v>1.5789473684210527E-2</v>
      </c>
      <c r="Y86" s="15" t="str">
        <f t="shared" si="24"/>
        <v>P0 Critical</v>
      </c>
      <c r="Z86" s="13">
        <v>18</v>
      </c>
      <c r="AA86" s="17">
        <f t="shared" si="25"/>
        <v>0</v>
      </c>
    </row>
    <row r="87" spans="1:27" ht="16.5" x14ac:dyDescent="0.55000000000000004">
      <c r="A87" s="12" t="s">
        <v>60</v>
      </c>
      <c r="B87" s="13">
        <f>COUNTIFS($A$2:A87,A87)</f>
        <v>2</v>
      </c>
      <c r="C87" s="13">
        <f t="shared" si="13"/>
        <v>0.25</v>
      </c>
      <c r="D87" s="14">
        <v>46103</v>
      </c>
      <c r="E87" s="14" t="str">
        <f t="shared" si="14"/>
        <v>Sun</v>
      </c>
      <c r="F87" s="14" t="s">
        <v>28</v>
      </c>
      <c r="G87" s="14" t="str">
        <f t="shared" si="15"/>
        <v>Week 4</v>
      </c>
      <c r="H87" s="14" t="str">
        <f t="shared" si="16"/>
        <v>Weekend</v>
      </c>
      <c r="I87" s="14" t="str">
        <f t="shared" si="17"/>
        <v>Mar</v>
      </c>
      <c r="J87" s="15" t="s">
        <v>38</v>
      </c>
      <c r="K87" s="15" t="s">
        <v>39</v>
      </c>
      <c r="L87" s="15" t="s">
        <v>32</v>
      </c>
      <c r="M87" s="13">
        <v>2</v>
      </c>
      <c r="N87" s="15">
        <v>915</v>
      </c>
      <c r="O87" s="15">
        <v>865</v>
      </c>
      <c r="P87" s="16">
        <f t="shared" si="18"/>
        <v>0.94535519125683065</v>
      </c>
      <c r="Q87" s="15" t="str">
        <f t="shared" si="19"/>
        <v>P0 Critical</v>
      </c>
      <c r="R87" s="15">
        <v>35</v>
      </c>
      <c r="S87" s="16">
        <f t="shared" si="20"/>
        <v>4.046242774566474E-2</v>
      </c>
      <c r="T87" s="15" t="str">
        <f t="shared" si="21"/>
        <v>P2 Observe</v>
      </c>
      <c r="U87" s="15">
        <v>15</v>
      </c>
      <c r="V87" s="16">
        <f t="shared" si="22"/>
        <v>0.42857142857142855</v>
      </c>
      <c r="W87" s="15"/>
      <c r="X87" s="16">
        <f t="shared" si="23"/>
        <v>1.6393442622950821E-2</v>
      </c>
      <c r="Y87" s="15" t="str">
        <f t="shared" si="24"/>
        <v>P0 Critical</v>
      </c>
      <c r="Z87" s="13">
        <v>30</v>
      </c>
      <c r="AA87" s="17">
        <f t="shared" si="25"/>
        <v>0</v>
      </c>
    </row>
    <row r="88" spans="1:27" ht="16.5" x14ac:dyDescent="0.55000000000000004">
      <c r="A88" s="12" t="s">
        <v>60</v>
      </c>
      <c r="B88" s="13">
        <f>COUNTIFS($A$2:A88,A88)</f>
        <v>3</v>
      </c>
      <c r="C88" s="13">
        <f t="shared" si="13"/>
        <v>0.25</v>
      </c>
      <c r="D88" s="14">
        <v>46103</v>
      </c>
      <c r="E88" s="14" t="str">
        <f t="shared" si="14"/>
        <v>Sun</v>
      </c>
      <c r="F88" s="14" t="s">
        <v>28</v>
      </c>
      <c r="G88" s="14" t="str">
        <f t="shared" si="15"/>
        <v>Week 4</v>
      </c>
      <c r="H88" s="14" t="str">
        <f t="shared" si="16"/>
        <v>Weekend</v>
      </c>
      <c r="I88" s="14" t="str">
        <f t="shared" si="17"/>
        <v>Mar</v>
      </c>
      <c r="J88" s="15" t="s">
        <v>38</v>
      </c>
      <c r="K88" s="15" t="s">
        <v>39</v>
      </c>
      <c r="L88" s="15" t="s">
        <v>33</v>
      </c>
      <c r="M88" s="13">
        <v>3</v>
      </c>
      <c r="N88" s="15">
        <v>935</v>
      </c>
      <c r="O88" s="15">
        <v>885</v>
      </c>
      <c r="P88" s="16">
        <f t="shared" si="18"/>
        <v>0.946524064171123</v>
      </c>
      <c r="Q88" s="15" t="str">
        <f t="shared" si="19"/>
        <v>P1 Attention</v>
      </c>
      <c r="R88" s="15">
        <v>30</v>
      </c>
      <c r="S88" s="16">
        <f t="shared" si="20"/>
        <v>3.3898305084745763E-2</v>
      </c>
      <c r="T88" s="15" t="str">
        <f t="shared" si="21"/>
        <v>P1 Attention</v>
      </c>
      <c r="U88" s="15">
        <v>20</v>
      </c>
      <c r="V88" s="16">
        <f t="shared" si="22"/>
        <v>0.66666666666666663</v>
      </c>
      <c r="W88" s="15"/>
      <c r="X88" s="16">
        <f t="shared" si="23"/>
        <v>2.1390374331550801E-2</v>
      </c>
      <c r="Y88" s="15" t="str">
        <f t="shared" si="24"/>
        <v>P2 Observe</v>
      </c>
      <c r="Z88" s="13">
        <v>26</v>
      </c>
      <c r="AA88" s="17">
        <f t="shared" si="25"/>
        <v>0</v>
      </c>
    </row>
    <row r="89" spans="1:27" ht="16.5" x14ac:dyDescent="0.55000000000000004">
      <c r="A89" s="12" t="s">
        <v>60</v>
      </c>
      <c r="B89" s="13">
        <f>COUNTIFS($A$2:A89,A89)</f>
        <v>4</v>
      </c>
      <c r="C89" s="13">
        <f t="shared" si="13"/>
        <v>0.25</v>
      </c>
      <c r="D89" s="14">
        <v>46103</v>
      </c>
      <c r="E89" s="14" t="str">
        <f t="shared" si="14"/>
        <v>Sun</v>
      </c>
      <c r="F89" s="14" t="s">
        <v>28</v>
      </c>
      <c r="G89" s="14" t="str">
        <f t="shared" si="15"/>
        <v>Week 4</v>
      </c>
      <c r="H89" s="14" t="str">
        <f t="shared" si="16"/>
        <v>Weekend</v>
      </c>
      <c r="I89" s="14" t="str">
        <f t="shared" si="17"/>
        <v>Mar</v>
      </c>
      <c r="J89" s="15" t="s">
        <v>38</v>
      </c>
      <c r="K89" s="15" t="s">
        <v>39</v>
      </c>
      <c r="L89" s="15" t="s">
        <v>34</v>
      </c>
      <c r="M89" s="13">
        <v>4</v>
      </c>
      <c r="N89" s="15">
        <v>900</v>
      </c>
      <c r="O89" s="15">
        <v>850</v>
      </c>
      <c r="P89" s="16">
        <f t="shared" si="18"/>
        <v>0.94444444444444442</v>
      </c>
      <c r="Q89" s="15" t="str">
        <f t="shared" si="19"/>
        <v>P0 Critical</v>
      </c>
      <c r="R89" s="15">
        <v>30</v>
      </c>
      <c r="S89" s="16">
        <f t="shared" si="20"/>
        <v>3.5294117647058823E-2</v>
      </c>
      <c r="T89" s="15" t="str">
        <f t="shared" si="21"/>
        <v>P2 Observe</v>
      </c>
      <c r="U89" s="15">
        <v>20</v>
      </c>
      <c r="V89" s="16">
        <f t="shared" si="22"/>
        <v>0.66666666666666663</v>
      </c>
      <c r="W89" s="15"/>
      <c r="X89" s="16">
        <f t="shared" si="23"/>
        <v>2.2222222222222223E-2</v>
      </c>
      <c r="Y89" s="15" t="str">
        <f t="shared" si="24"/>
        <v>P2 Observe</v>
      </c>
      <c r="Z89" s="13">
        <v>24</v>
      </c>
      <c r="AA89" s="17">
        <f t="shared" si="25"/>
        <v>0</v>
      </c>
    </row>
    <row r="90" spans="1:27" ht="16.5" x14ac:dyDescent="0.55000000000000004">
      <c r="A90" s="12" t="s">
        <v>61</v>
      </c>
      <c r="B90" s="13">
        <f>COUNTIFS($A$2:A90,A90)</f>
        <v>1</v>
      </c>
      <c r="C90" s="13">
        <f t="shared" si="13"/>
        <v>0.25</v>
      </c>
      <c r="D90" s="14">
        <v>46104</v>
      </c>
      <c r="E90" s="14" t="str">
        <f t="shared" si="14"/>
        <v>Mon</v>
      </c>
      <c r="F90" s="14" t="s">
        <v>28</v>
      </c>
      <c r="G90" s="14" t="str">
        <f t="shared" si="15"/>
        <v>Week 4</v>
      </c>
      <c r="H90" s="14" t="str">
        <f t="shared" si="16"/>
        <v>Weekday</v>
      </c>
      <c r="I90" s="14" t="str">
        <f t="shared" si="17"/>
        <v>Mar</v>
      </c>
      <c r="J90" s="15" t="s">
        <v>42</v>
      </c>
      <c r="K90" s="15" t="s">
        <v>43</v>
      </c>
      <c r="L90" s="15" t="s">
        <v>31</v>
      </c>
      <c r="M90" s="13">
        <v>1</v>
      </c>
      <c r="N90" s="15">
        <v>990</v>
      </c>
      <c r="O90" s="15">
        <v>945</v>
      </c>
      <c r="P90" s="16">
        <f t="shared" si="18"/>
        <v>0.95454545454545459</v>
      </c>
      <c r="Q90" s="15" t="str">
        <f t="shared" si="19"/>
        <v>P2 Observe</v>
      </c>
      <c r="R90" s="15">
        <v>30</v>
      </c>
      <c r="S90" s="16">
        <f t="shared" si="20"/>
        <v>3.1746031746031744E-2</v>
      </c>
      <c r="T90" s="15" t="str">
        <f t="shared" si="21"/>
        <v>P1 Attention</v>
      </c>
      <c r="U90" s="15">
        <v>15</v>
      </c>
      <c r="V90" s="16">
        <f t="shared" si="22"/>
        <v>0.5</v>
      </c>
      <c r="W90" s="15"/>
      <c r="X90" s="16">
        <f t="shared" si="23"/>
        <v>1.5151515151515152E-2</v>
      </c>
      <c r="Y90" s="15" t="str">
        <f t="shared" si="24"/>
        <v>P0 Critical</v>
      </c>
      <c r="Z90" s="13">
        <v>22</v>
      </c>
      <c r="AA90" s="17">
        <f t="shared" si="25"/>
        <v>0</v>
      </c>
    </row>
    <row r="91" spans="1:27" ht="16.5" x14ac:dyDescent="0.55000000000000004">
      <c r="A91" s="12" t="s">
        <v>61</v>
      </c>
      <c r="B91" s="13">
        <f>COUNTIFS($A$2:A91,A91)</f>
        <v>2</v>
      </c>
      <c r="C91" s="13">
        <f t="shared" si="13"/>
        <v>0.25</v>
      </c>
      <c r="D91" s="14">
        <v>46104</v>
      </c>
      <c r="E91" s="14" t="str">
        <f t="shared" si="14"/>
        <v>Mon</v>
      </c>
      <c r="F91" s="14" t="s">
        <v>28</v>
      </c>
      <c r="G91" s="14" t="str">
        <f t="shared" si="15"/>
        <v>Week 4</v>
      </c>
      <c r="H91" s="14" t="str">
        <f t="shared" si="16"/>
        <v>Weekday</v>
      </c>
      <c r="I91" s="14" t="str">
        <f t="shared" si="17"/>
        <v>Mar</v>
      </c>
      <c r="J91" s="15" t="s">
        <v>42</v>
      </c>
      <c r="K91" s="15" t="s">
        <v>43</v>
      </c>
      <c r="L91" s="15" t="s">
        <v>32</v>
      </c>
      <c r="M91" s="13">
        <v>2</v>
      </c>
      <c r="N91" s="15">
        <v>955</v>
      </c>
      <c r="O91" s="15">
        <v>900</v>
      </c>
      <c r="P91" s="16">
        <f t="shared" si="18"/>
        <v>0.94240837696335078</v>
      </c>
      <c r="Q91" s="15" t="str">
        <f t="shared" si="19"/>
        <v>P0 Critical</v>
      </c>
      <c r="R91" s="15">
        <v>35</v>
      </c>
      <c r="S91" s="16">
        <f t="shared" si="20"/>
        <v>3.888888888888889E-2</v>
      </c>
      <c r="T91" s="15" t="str">
        <f t="shared" si="21"/>
        <v>P2 Observe</v>
      </c>
      <c r="U91" s="15">
        <v>20</v>
      </c>
      <c r="V91" s="16">
        <f t="shared" si="22"/>
        <v>0.5714285714285714</v>
      </c>
      <c r="W91" s="15"/>
      <c r="X91" s="16">
        <f t="shared" si="23"/>
        <v>2.0942408376963352E-2</v>
      </c>
      <c r="Y91" s="15" t="str">
        <f t="shared" si="24"/>
        <v>P2 Observe</v>
      </c>
      <c r="Z91" s="13">
        <v>34</v>
      </c>
      <c r="AA91" s="17">
        <f t="shared" si="25"/>
        <v>0</v>
      </c>
    </row>
    <row r="92" spans="1:27" ht="16.5" x14ac:dyDescent="0.55000000000000004">
      <c r="A92" s="12" t="s">
        <v>61</v>
      </c>
      <c r="B92" s="13">
        <f>COUNTIFS($A$2:A92,A92)</f>
        <v>3</v>
      </c>
      <c r="C92" s="13">
        <f t="shared" si="13"/>
        <v>0.25</v>
      </c>
      <c r="D92" s="14">
        <v>46104</v>
      </c>
      <c r="E92" s="14" t="str">
        <f t="shared" si="14"/>
        <v>Mon</v>
      </c>
      <c r="F92" s="14" t="s">
        <v>28</v>
      </c>
      <c r="G92" s="14" t="str">
        <f t="shared" si="15"/>
        <v>Week 4</v>
      </c>
      <c r="H92" s="14" t="str">
        <f t="shared" si="16"/>
        <v>Weekday</v>
      </c>
      <c r="I92" s="14" t="str">
        <f t="shared" si="17"/>
        <v>Mar</v>
      </c>
      <c r="J92" s="15" t="s">
        <v>42</v>
      </c>
      <c r="K92" s="15" t="s">
        <v>43</v>
      </c>
      <c r="L92" s="15" t="s">
        <v>33</v>
      </c>
      <c r="M92" s="13">
        <v>3</v>
      </c>
      <c r="N92" s="15">
        <v>975</v>
      </c>
      <c r="O92" s="15">
        <v>920</v>
      </c>
      <c r="P92" s="16">
        <f t="shared" si="18"/>
        <v>0.94358974358974357</v>
      </c>
      <c r="Q92" s="15" t="str">
        <f t="shared" si="19"/>
        <v>P0 Critical</v>
      </c>
      <c r="R92" s="15">
        <v>35</v>
      </c>
      <c r="S92" s="16">
        <f t="shared" si="20"/>
        <v>3.8043478260869568E-2</v>
      </c>
      <c r="T92" s="15" t="str">
        <f t="shared" si="21"/>
        <v>P2 Observe</v>
      </c>
      <c r="U92" s="15">
        <v>20</v>
      </c>
      <c r="V92" s="16">
        <f t="shared" si="22"/>
        <v>0.5714285714285714</v>
      </c>
      <c r="W92" s="15"/>
      <c r="X92" s="16">
        <f t="shared" si="23"/>
        <v>2.0512820512820513E-2</v>
      </c>
      <c r="Y92" s="15" t="str">
        <f t="shared" si="24"/>
        <v>P2 Observe</v>
      </c>
      <c r="Z92" s="13">
        <v>30</v>
      </c>
      <c r="AA92" s="17">
        <f t="shared" si="25"/>
        <v>0</v>
      </c>
    </row>
    <row r="93" spans="1:27" ht="16.5" x14ac:dyDescent="0.55000000000000004">
      <c r="A93" s="12" t="s">
        <v>61</v>
      </c>
      <c r="B93" s="13">
        <f>COUNTIFS($A$2:A93,A93)</f>
        <v>4</v>
      </c>
      <c r="C93" s="13">
        <f t="shared" si="13"/>
        <v>0.25</v>
      </c>
      <c r="D93" s="14">
        <v>46104</v>
      </c>
      <c r="E93" s="14" t="str">
        <f t="shared" si="14"/>
        <v>Mon</v>
      </c>
      <c r="F93" s="14" t="s">
        <v>28</v>
      </c>
      <c r="G93" s="14" t="str">
        <f t="shared" si="15"/>
        <v>Week 4</v>
      </c>
      <c r="H93" s="14" t="str">
        <f t="shared" si="16"/>
        <v>Weekday</v>
      </c>
      <c r="I93" s="14" t="str">
        <f t="shared" si="17"/>
        <v>Mar</v>
      </c>
      <c r="J93" s="15" t="s">
        <v>42</v>
      </c>
      <c r="K93" s="15" t="s">
        <v>43</v>
      </c>
      <c r="L93" s="15" t="s">
        <v>34</v>
      </c>
      <c r="M93" s="13">
        <v>4</v>
      </c>
      <c r="N93" s="15">
        <v>935</v>
      </c>
      <c r="O93" s="15">
        <v>880</v>
      </c>
      <c r="P93" s="16">
        <f t="shared" si="18"/>
        <v>0.94117647058823528</v>
      </c>
      <c r="Q93" s="15" t="str">
        <f t="shared" si="19"/>
        <v>P0 Critical</v>
      </c>
      <c r="R93" s="15">
        <v>35</v>
      </c>
      <c r="S93" s="16">
        <f t="shared" si="20"/>
        <v>3.9772727272727272E-2</v>
      </c>
      <c r="T93" s="15" t="str">
        <f t="shared" si="21"/>
        <v>P2 Observe</v>
      </c>
      <c r="U93" s="15">
        <v>20</v>
      </c>
      <c r="V93" s="16">
        <f t="shared" si="22"/>
        <v>0.5714285714285714</v>
      </c>
      <c r="W93" s="15"/>
      <c r="X93" s="16">
        <f t="shared" si="23"/>
        <v>2.1390374331550801E-2</v>
      </c>
      <c r="Y93" s="15" t="str">
        <f t="shared" si="24"/>
        <v>P2 Observe</v>
      </c>
      <c r="Z93" s="13">
        <v>28</v>
      </c>
      <c r="AA93" s="17">
        <f t="shared" si="25"/>
        <v>0</v>
      </c>
    </row>
    <row r="94" spans="1:27" ht="16.5" x14ac:dyDescent="0.55000000000000004">
      <c r="A94" s="12" t="s">
        <v>62</v>
      </c>
      <c r="B94" s="13">
        <f>COUNTIFS($A$2:A94,A94)</f>
        <v>1</v>
      </c>
      <c r="C94" s="13">
        <f t="shared" si="13"/>
        <v>0.25</v>
      </c>
      <c r="D94" s="14">
        <v>46105</v>
      </c>
      <c r="E94" s="14" t="str">
        <f t="shared" si="14"/>
        <v>Tue</v>
      </c>
      <c r="F94" s="14" t="s">
        <v>28</v>
      </c>
      <c r="G94" s="14" t="str">
        <f t="shared" si="15"/>
        <v>Week 4</v>
      </c>
      <c r="H94" s="14" t="str">
        <f t="shared" si="16"/>
        <v>Weekday</v>
      </c>
      <c r="I94" s="14" t="str">
        <f t="shared" si="17"/>
        <v>Mar</v>
      </c>
      <c r="J94" s="15" t="s">
        <v>29</v>
      </c>
      <c r="K94" s="15" t="s">
        <v>30</v>
      </c>
      <c r="L94" s="15" t="s">
        <v>31</v>
      </c>
      <c r="M94" s="13">
        <v>1</v>
      </c>
      <c r="N94" s="15">
        <v>1080</v>
      </c>
      <c r="O94" s="15">
        <v>1035</v>
      </c>
      <c r="P94" s="16">
        <f t="shared" si="18"/>
        <v>0.95833333333333337</v>
      </c>
      <c r="Q94" s="15" t="str">
        <f t="shared" si="19"/>
        <v>P2 Observe</v>
      </c>
      <c r="R94" s="15">
        <v>30</v>
      </c>
      <c r="S94" s="16">
        <f t="shared" si="20"/>
        <v>2.8985507246376812E-2</v>
      </c>
      <c r="T94" s="15" t="str">
        <f t="shared" si="21"/>
        <v>P0 Critical</v>
      </c>
      <c r="U94" s="15">
        <v>15</v>
      </c>
      <c r="V94" s="16">
        <f t="shared" si="22"/>
        <v>0.5</v>
      </c>
      <c r="W94" s="15"/>
      <c r="X94" s="16">
        <f t="shared" si="23"/>
        <v>1.3888888888888888E-2</v>
      </c>
      <c r="Y94" s="15" t="str">
        <f t="shared" si="24"/>
        <v>P0 Critical</v>
      </c>
      <c r="Z94" s="13">
        <v>21</v>
      </c>
      <c r="AA94" s="17">
        <f t="shared" si="25"/>
        <v>0</v>
      </c>
    </row>
    <row r="95" spans="1:27" ht="16.5" x14ac:dyDescent="0.55000000000000004">
      <c r="A95" s="12" t="s">
        <v>62</v>
      </c>
      <c r="B95" s="13">
        <f>COUNTIFS($A$2:A95,A95)</f>
        <v>2</v>
      </c>
      <c r="C95" s="13">
        <f t="shared" si="13"/>
        <v>0.25</v>
      </c>
      <c r="D95" s="14">
        <v>46105</v>
      </c>
      <c r="E95" s="14" t="str">
        <f t="shared" si="14"/>
        <v>Tue</v>
      </c>
      <c r="F95" s="14" t="s">
        <v>28</v>
      </c>
      <c r="G95" s="14" t="str">
        <f t="shared" si="15"/>
        <v>Week 4</v>
      </c>
      <c r="H95" s="14" t="str">
        <f t="shared" si="16"/>
        <v>Weekday</v>
      </c>
      <c r="I95" s="14" t="str">
        <f t="shared" si="17"/>
        <v>Mar</v>
      </c>
      <c r="J95" s="15" t="s">
        <v>29</v>
      </c>
      <c r="K95" s="15" t="s">
        <v>30</v>
      </c>
      <c r="L95" s="15" t="s">
        <v>32</v>
      </c>
      <c r="M95" s="13">
        <v>2</v>
      </c>
      <c r="N95" s="15">
        <v>1045</v>
      </c>
      <c r="O95" s="15">
        <v>990</v>
      </c>
      <c r="P95" s="16">
        <f t="shared" si="18"/>
        <v>0.94736842105263153</v>
      </c>
      <c r="Q95" s="15" t="str">
        <f t="shared" si="19"/>
        <v>P1 Attention</v>
      </c>
      <c r="R95" s="15">
        <v>35</v>
      </c>
      <c r="S95" s="16">
        <f t="shared" si="20"/>
        <v>3.5353535353535352E-2</v>
      </c>
      <c r="T95" s="15" t="str">
        <f t="shared" si="21"/>
        <v>P2 Observe</v>
      </c>
      <c r="U95" s="15">
        <v>20</v>
      </c>
      <c r="V95" s="16">
        <f t="shared" si="22"/>
        <v>0.5714285714285714</v>
      </c>
      <c r="W95" s="15"/>
      <c r="X95" s="16">
        <f t="shared" si="23"/>
        <v>1.9138755980861243E-2</v>
      </c>
      <c r="Y95" s="15" t="str">
        <f t="shared" si="24"/>
        <v>P1 Attention</v>
      </c>
      <c r="Z95" s="13">
        <v>37</v>
      </c>
      <c r="AA95" s="17">
        <f t="shared" si="25"/>
        <v>0</v>
      </c>
    </row>
    <row r="96" spans="1:27" ht="16.5" x14ac:dyDescent="0.55000000000000004">
      <c r="A96" s="12" t="s">
        <v>62</v>
      </c>
      <c r="B96" s="13">
        <f>COUNTIFS($A$2:A96,A96)</f>
        <v>3</v>
      </c>
      <c r="C96" s="13">
        <f t="shared" si="13"/>
        <v>0.25</v>
      </c>
      <c r="D96" s="14">
        <v>46105</v>
      </c>
      <c r="E96" s="14" t="str">
        <f t="shared" si="14"/>
        <v>Tue</v>
      </c>
      <c r="F96" s="14" t="s">
        <v>28</v>
      </c>
      <c r="G96" s="14" t="str">
        <f t="shared" si="15"/>
        <v>Week 4</v>
      </c>
      <c r="H96" s="14" t="str">
        <f t="shared" si="16"/>
        <v>Weekday</v>
      </c>
      <c r="I96" s="14" t="str">
        <f t="shared" si="17"/>
        <v>Mar</v>
      </c>
      <c r="J96" s="15" t="s">
        <v>29</v>
      </c>
      <c r="K96" s="15" t="s">
        <v>30</v>
      </c>
      <c r="L96" s="15" t="s">
        <v>33</v>
      </c>
      <c r="M96" s="13">
        <v>3</v>
      </c>
      <c r="N96" s="15">
        <v>1065</v>
      </c>
      <c r="O96" s="15">
        <v>1010</v>
      </c>
      <c r="P96" s="16">
        <f t="shared" si="18"/>
        <v>0.94835680751173712</v>
      </c>
      <c r="Q96" s="15" t="str">
        <f t="shared" si="19"/>
        <v>P1 Attention</v>
      </c>
      <c r="R96" s="15">
        <v>35</v>
      </c>
      <c r="S96" s="16">
        <f t="shared" si="20"/>
        <v>3.4653465346534656E-2</v>
      </c>
      <c r="T96" s="15" t="str">
        <f t="shared" si="21"/>
        <v>P1 Attention</v>
      </c>
      <c r="U96" s="15">
        <v>20</v>
      </c>
      <c r="V96" s="16">
        <f t="shared" si="22"/>
        <v>0.5714285714285714</v>
      </c>
      <c r="W96" s="15"/>
      <c r="X96" s="16">
        <f t="shared" si="23"/>
        <v>1.8779342723004695E-2</v>
      </c>
      <c r="Y96" s="15" t="str">
        <f t="shared" si="24"/>
        <v>P1 Attention</v>
      </c>
      <c r="Z96" s="13">
        <v>33</v>
      </c>
      <c r="AA96" s="17">
        <f t="shared" si="25"/>
        <v>0</v>
      </c>
    </row>
    <row r="97" spans="1:27" ht="16.5" x14ac:dyDescent="0.55000000000000004">
      <c r="A97" s="12" t="s">
        <v>62</v>
      </c>
      <c r="B97" s="13">
        <f>COUNTIFS($A$2:A97,A97)</f>
        <v>4</v>
      </c>
      <c r="C97" s="13">
        <f t="shared" si="13"/>
        <v>0.25</v>
      </c>
      <c r="D97" s="14">
        <v>46105</v>
      </c>
      <c r="E97" s="14" t="str">
        <f t="shared" si="14"/>
        <v>Tue</v>
      </c>
      <c r="F97" s="14" t="s">
        <v>28</v>
      </c>
      <c r="G97" s="14" t="str">
        <f t="shared" si="15"/>
        <v>Week 4</v>
      </c>
      <c r="H97" s="14" t="str">
        <f t="shared" si="16"/>
        <v>Weekday</v>
      </c>
      <c r="I97" s="14" t="str">
        <f t="shared" si="17"/>
        <v>Mar</v>
      </c>
      <c r="J97" s="15" t="s">
        <v>29</v>
      </c>
      <c r="K97" s="15" t="s">
        <v>30</v>
      </c>
      <c r="L97" s="15" t="s">
        <v>34</v>
      </c>
      <c r="M97" s="13">
        <v>4</v>
      </c>
      <c r="N97" s="15">
        <v>1025</v>
      </c>
      <c r="O97" s="15">
        <v>970</v>
      </c>
      <c r="P97" s="16">
        <f t="shared" si="18"/>
        <v>0.9463414634146341</v>
      </c>
      <c r="Q97" s="15" t="str">
        <f t="shared" si="19"/>
        <v>P1 Attention</v>
      </c>
      <c r="R97" s="15">
        <v>35</v>
      </c>
      <c r="S97" s="16">
        <f t="shared" si="20"/>
        <v>3.608247422680412E-2</v>
      </c>
      <c r="T97" s="15" t="str">
        <f t="shared" si="21"/>
        <v>P2 Observe</v>
      </c>
      <c r="U97" s="15">
        <v>20</v>
      </c>
      <c r="V97" s="16">
        <f t="shared" si="22"/>
        <v>0.5714285714285714</v>
      </c>
      <c r="W97" s="15"/>
      <c r="X97" s="16">
        <f t="shared" si="23"/>
        <v>1.9512195121951219E-2</v>
      </c>
      <c r="Y97" s="15" t="str">
        <f t="shared" si="24"/>
        <v>P1 Attention</v>
      </c>
      <c r="Z97" s="13">
        <v>29</v>
      </c>
      <c r="AA97" s="17">
        <f t="shared" si="25"/>
        <v>0</v>
      </c>
    </row>
    <row r="98" spans="1:27" ht="16.5" x14ac:dyDescent="0.55000000000000004">
      <c r="A98" s="12" t="s">
        <v>63</v>
      </c>
      <c r="B98" s="13">
        <f>COUNTIFS($A$2:A98,A98)</f>
        <v>1</v>
      </c>
      <c r="C98" s="13">
        <f t="shared" si="13"/>
        <v>0.25</v>
      </c>
      <c r="D98" s="14">
        <v>46106</v>
      </c>
      <c r="E98" s="14" t="str">
        <f t="shared" si="14"/>
        <v>Wed</v>
      </c>
      <c r="F98" s="14" t="s">
        <v>28</v>
      </c>
      <c r="G98" s="14" t="str">
        <f t="shared" si="15"/>
        <v>Week 4</v>
      </c>
      <c r="H98" s="14" t="str">
        <f t="shared" si="16"/>
        <v>Weekday</v>
      </c>
      <c r="I98" s="14" t="str">
        <f t="shared" si="17"/>
        <v>Mar</v>
      </c>
      <c r="J98" s="15" t="s">
        <v>38</v>
      </c>
      <c r="K98" s="15" t="s">
        <v>39</v>
      </c>
      <c r="L98" s="15" t="s">
        <v>31</v>
      </c>
      <c r="M98" s="13">
        <v>1</v>
      </c>
      <c r="N98" s="15">
        <v>970</v>
      </c>
      <c r="O98" s="15">
        <v>930</v>
      </c>
      <c r="P98" s="16">
        <f t="shared" si="18"/>
        <v>0.95876288659793818</v>
      </c>
      <c r="Q98" s="15" t="str">
        <f t="shared" si="19"/>
        <v>P2 Observe</v>
      </c>
      <c r="R98" s="15">
        <v>25</v>
      </c>
      <c r="S98" s="16">
        <f t="shared" si="20"/>
        <v>2.6881720430107527E-2</v>
      </c>
      <c r="T98" s="15" t="str">
        <f t="shared" si="21"/>
        <v>P0 Critical</v>
      </c>
      <c r="U98" s="15">
        <v>15</v>
      </c>
      <c r="V98" s="16">
        <f t="shared" si="22"/>
        <v>0.6</v>
      </c>
      <c r="W98" s="15"/>
      <c r="X98" s="16">
        <f t="shared" si="23"/>
        <v>1.5463917525773196E-2</v>
      </c>
      <c r="Y98" s="15" t="str">
        <f t="shared" si="24"/>
        <v>P0 Critical</v>
      </c>
      <c r="Z98" s="13">
        <v>19</v>
      </c>
      <c r="AA98" s="17">
        <f t="shared" si="25"/>
        <v>0</v>
      </c>
    </row>
    <row r="99" spans="1:27" ht="16.5" x14ac:dyDescent="0.55000000000000004">
      <c r="A99" s="12" t="s">
        <v>63</v>
      </c>
      <c r="B99" s="13">
        <f>COUNTIFS($A$2:A99,A99)</f>
        <v>2</v>
      </c>
      <c r="C99" s="13">
        <f t="shared" si="13"/>
        <v>0.25</v>
      </c>
      <c r="D99" s="14">
        <v>46106</v>
      </c>
      <c r="E99" s="14" t="str">
        <f t="shared" si="14"/>
        <v>Wed</v>
      </c>
      <c r="F99" s="14" t="s">
        <v>28</v>
      </c>
      <c r="G99" s="14" t="str">
        <f t="shared" si="15"/>
        <v>Week 4</v>
      </c>
      <c r="H99" s="14" t="str">
        <f t="shared" si="16"/>
        <v>Weekday</v>
      </c>
      <c r="I99" s="14" t="str">
        <f t="shared" si="17"/>
        <v>Mar</v>
      </c>
      <c r="J99" s="15" t="s">
        <v>38</v>
      </c>
      <c r="K99" s="15" t="s">
        <v>39</v>
      </c>
      <c r="L99" s="15" t="s">
        <v>32</v>
      </c>
      <c r="M99" s="13">
        <v>2</v>
      </c>
      <c r="N99" s="15">
        <v>935</v>
      </c>
      <c r="O99" s="15">
        <v>885</v>
      </c>
      <c r="P99" s="16">
        <f t="shared" si="18"/>
        <v>0.946524064171123</v>
      </c>
      <c r="Q99" s="15" t="str">
        <f t="shared" si="19"/>
        <v>P1 Attention</v>
      </c>
      <c r="R99" s="15">
        <v>35</v>
      </c>
      <c r="S99" s="16">
        <f t="shared" si="20"/>
        <v>3.954802259887006E-2</v>
      </c>
      <c r="T99" s="15" t="str">
        <f t="shared" si="21"/>
        <v>P2 Observe</v>
      </c>
      <c r="U99" s="15">
        <v>15</v>
      </c>
      <c r="V99" s="16">
        <f t="shared" si="22"/>
        <v>0.42857142857142855</v>
      </c>
      <c r="W99" s="15"/>
      <c r="X99" s="16">
        <f t="shared" si="23"/>
        <v>1.6042780748663103E-2</v>
      </c>
      <c r="Y99" s="15" t="str">
        <f t="shared" si="24"/>
        <v>P0 Critical</v>
      </c>
      <c r="Z99" s="13">
        <v>31</v>
      </c>
      <c r="AA99" s="17">
        <f t="shared" si="25"/>
        <v>0</v>
      </c>
    </row>
    <row r="100" spans="1:27" ht="16.5" x14ac:dyDescent="0.55000000000000004">
      <c r="A100" s="12" t="s">
        <v>63</v>
      </c>
      <c r="B100" s="13">
        <f>COUNTIFS($A$2:A100,A100)</f>
        <v>3</v>
      </c>
      <c r="C100" s="13">
        <f t="shared" si="13"/>
        <v>0.25</v>
      </c>
      <c r="D100" s="14">
        <v>46106</v>
      </c>
      <c r="E100" s="14" t="str">
        <f t="shared" si="14"/>
        <v>Wed</v>
      </c>
      <c r="F100" s="14" t="s">
        <v>28</v>
      </c>
      <c r="G100" s="14" t="str">
        <f t="shared" si="15"/>
        <v>Week 4</v>
      </c>
      <c r="H100" s="14" t="str">
        <f t="shared" si="16"/>
        <v>Weekday</v>
      </c>
      <c r="I100" s="14" t="str">
        <f t="shared" si="17"/>
        <v>Mar</v>
      </c>
      <c r="J100" s="15" t="s">
        <v>38</v>
      </c>
      <c r="K100" s="15" t="s">
        <v>39</v>
      </c>
      <c r="L100" s="15" t="s">
        <v>33</v>
      </c>
      <c r="M100" s="13">
        <v>3</v>
      </c>
      <c r="N100" s="15">
        <v>955</v>
      </c>
      <c r="O100" s="15">
        <v>905</v>
      </c>
      <c r="P100" s="16">
        <f t="shared" si="18"/>
        <v>0.94764397905759157</v>
      </c>
      <c r="Q100" s="15" t="str">
        <f t="shared" si="19"/>
        <v>P1 Attention</v>
      </c>
      <c r="R100" s="15">
        <v>30</v>
      </c>
      <c r="S100" s="16">
        <f t="shared" si="20"/>
        <v>3.3149171270718231E-2</v>
      </c>
      <c r="T100" s="15" t="str">
        <f t="shared" si="21"/>
        <v>P1 Attention</v>
      </c>
      <c r="U100" s="15">
        <v>20</v>
      </c>
      <c r="V100" s="16">
        <f t="shared" si="22"/>
        <v>0.66666666666666663</v>
      </c>
      <c r="W100" s="15"/>
      <c r="X100" s="16">
        <f t="shared" si="23"/>
        <v>2.0942408376963352E-2</v>
      </c>
      <c r="Y100" s="15" t="str">
        <f t="shared" si="24"/>
        <v>P2 Observe</v>
      </c>
      <c r="Z100" s="13">
        <v>27</v>
      </c>
      <c r="AA100" s="17">
        <f t="shared" si="25"/>
        <v>0</v>
      </c>
    </row>
    <row r="101" spans="1:27" ht="16.5" x14ac:dyDescent="0.55000000000000004">
      <c r="A101" s="12" t="s">
        <v>63</v>
      </c>
      <c r="B101" s="13">
        <f>COUNTIFS($A$2:A101,A101)</f>
        <v>4</v>
      </c>
      <c r="C101" s="13">
        <f t="shared" si="13"/>
        <v>0.25</v>
      </c>
      <c r="D101" s="14">
        <v>46106</v>
      </c>
      <c r="E101" s="14" t="str">
        <f t="shared" si="14"/>
        <v>Wed</v>
      </c>
      <c r="F101" s="14" t="s">
        <v>28</v>
      </c>
      <c r="G101" s="14" t="str">
        <f t="shared" si="15"/>
        <v>Week 4</v>
      </c>
      <c r="H101" s="14" t="str">
        <f t="shared" si="16"/>
        <v>Weekday</v>
      </c>
      <c r="I101" s="14" t="str">
        <f t="shared" si="17"/>
        <v>Mar</v>
      </c>
      <c r="J101" s="15" t="s">
        <v>38</v>
      </c>
      <c r="K101" s="15" t="s">
        <v>39</v>
      </c>
      <c r="L101" s="15" t="s">
        <v>34</v>
      </c>
      <c r="M101" s="13">
        <v>4</v>
      </c>
      <c r="N101" s="15">
        <v>920</v>
      </c>
      <c r="O101" s="15">
        <v>870</v>
      </c>
      <c r="P101" s="16">
        <f t="shared" si="18"/>
        <v>0.94565217391304346</v>
      </c>
      <c r="Q101" s="15" t="str">
        <f t="shared" si="19"/>
        <v>P1 Attention</v>
      </c>
      <c r="R101" s="15">
        <v>30</v>
      </c>
      <c r="S101" s="16">
        <f t="shared" si="20"/>
        <v>3.4482758620689655E-2</v>
      </c>
      <c r="T101" s="15" t="str">
        <f t="shared" si="21"/>
        <v>P1 Attention</v>
      </c>
      <c r="U101" s="15">
        <v>20</v>
      </c>
      <c r="V101" s="16">
        <f t="shared" si="22"/>
        <v>0.66666666666666663</v>
      </c>
      <c r="W101" s="15"/>
      <c r="X101" s="16">
        <f t="shared" si="23"/>
        <v>2.1739130434782608E-2</v>
      </c>
      <c r="Y101" s="15" t="str">
        <f t="shared" si="24"/>
        <v>P2 Observe</v>
      </c>
      <c r="Z101" s="13">
        <v>25</v>
      </c>
      <c r="AA101" s="17">
        <f t="shared" si="25"/>
        <v>0</v>
      </c>
    </row>
    <row r="102" spans="1:27" ht="16.5" x14ac:dyDescent="0.55000000000000004">
      <c r="A102" s="12" t="s">
        <v>64</v>
      </c>
      <c r="B102" s="13">
        <f>COUNTIFS($A$2:A102,A102)</f>
        <v>1</v>
      </c>
      <c r="C102" s="13">
        <f t="shared" si="13"/>
        <v>0.25</v>
      </c>
      <c r="D102" s="14">
        <v>46107</v>
      </c>
      <c r="E102" s="14" t="str">
        <f t="shared" si="14"/>
        <v>Thu</v>
      </c>
      <c r="F102" s="14" t="s">
        <v>36</v>
      </c>
      <c r="G102" s="14" t="str">
        <f t="shared" si="15"/>
        <v>Week 4</v>
      </c>
      <c r="H102" s="14" t="str">
        <f t="shared" si="16"/>
        <v>Weekday</v>
      </c>
      <c r="I102" s="14" t="str">
        <f t="shared" si="17"/>
        <v>Mar</v>
      </c>
      <c r="J102" s="15" t="s">
        <v>42</v>
      </c>
      <c r="K102" s="15" t="s">
        <v>43</v>
      </c>
      <c r="L102" s="15" t="s">
        <v>31</v>
      </c>
      <c r="M102" s="13">
        <v>1</v>
      </c>
      <c r="N102" s="15">
        <v>1005</v>
      </c>
      <c r="O102" s="15">
        <v>960</v>
      </c>
      <c r="P102" s="16">
        <f t="shared" si="18"/>
        <v>0.95522388059701491</v>
      </c>
      <c r="Q102" s="15" t="str">
        <f t="shared" si="19"/>
        <v>P2 Observe</v>
      </c>
      <c r="R102" s="15">
        <v>30</v>
      </c>
      <c r="S102" s="16">
        <f t="shared" si="20"/>
        <v>3.125E-2</v>
      </c>
      <c r="T102" s="15" t="str">
        <f t="shared" si="21"/>
        <v>P0 Critical</v>
      </c>
      <c r="U102" s="15">
        <v>15</v>
      </c>
      <c r="V102" s="16">
        <f t="shared" si="22"/>
        <v>0.5</v>
      </c>
      <c r="W102" s="15"/>
      <c r="X102" s="16">
        <f t="shared" si="23"/>
        <v>1.4925373134328358E-2</v>
      </c>
      <c r="Y102" s="15" t="str">
        <f t="shared" si="24"/>
        <v>P0 Critical</v>
      </c>
      <c r="Z102" s="13">
        <v>23</v>
      </c>
      <c r="AA102" s="17">
        <f t="shared" si="25"/>
        <v>0</v>
      </c>
    </row>
    <row r="103" spans="1:27" ht="16.5" x14ac:dyDescent="0.55000000000000004">
      <c r="A103" s="12" t="s">
        <v>64</v>
      </c>
      <c r="B103" s="13">
        <f>COUNTIFS($A$2:A103,A103)</f>
        <v>2</v>
      </c>
      <c r="C103" s="13">
        <f t="shared" si="13"/>
        <v>0.25</v>
      </c>
      <c r="D103" s="14">
        <v>46107</v>
      </c>
      <c r="E103" s="14" t="str">
        <f t="shared" si="14"/>
        <v>Thu</v>
      </c>
      <c r="F103" s="14" t="s">
        <v>36</v>
      </c>
      <c r="G103" s="14" t="str">
        <f t="shared" si="15"/>
        <v>Week 4</v>
      </c>
      <c r="H103" s="14" t="str">
        <f t="shared" si="16"/>
        <v>Weekday</v>
      </c>
      <c r="I103" s="14" t="str">
        <f t="shared" si="17"/>
        <v>Mar</v>
      </c>
      <c r="J103" s="15" t="s">
        <v>42</v>
      </c>
      <c r="K103" s="15" t="s">
        <v>43</v>
      </c>
      <c r="L103" s="15" t="s">
        <v>32</v>
      </c>
      <c r="M103" s="13">
        <v>2</v>
      </c>
      <c r="N103" s="15">
        <v>970</v>
      </c>
      <c r="O103" s="15">
        <v>915</v>
      </c>
      <c r="P103" s="16">
        <f t="shared" si="18"/>
        <v>0.94329896907216493</v>
      </c>
      <c r="Q103" s="15" t="str">
        <f t="shared" si="19"/>
        <v>P0 Critical</v>
      </c>
      <c r="R103" s="15">
        <v>35</v>
      </c>
      <c r="S103" s="16">
        <f t="shared" si="20"/>
        <v>3.825136612021858E-2</v>
      </c>
      <c r="T103" s="15" t="str">
        <f t="shared" si="21"/>
        <v>P2 Observe</v>
      </c>
      <c r="U103" s="15">
        <v>20</v>
      </c>
      <c r="V103" s="16">
        <f t="shared" si="22"/>
        <v>0.5714285714285714</v>
      </c>
      <c r="W103" s="15"/>
      <c r="X103" s="16">
        <f t="shared" si="23"/>
        <v>2.0618556701030927E-2</v>
      </c>
      <c r="Y103" s="15" t="str">
        <f t="shared" si="24"/>
        <v>P2 Observe</v>
      </c>
      <c r="Z103" s="13">
        <v>35</v>
      </c>
      <c r="AA103" s="17">
        <f t="shared" si="25"/>
        <v>0</v>
      </c>
    </row>
    <row r="104" spans="1:27" ht="16.5" x14ac:dyDescent="0.55000000000000004">
      <c r="A104" s="12" t="s">
        <v>64</v>
      </c>
      <c r="B104" s="13">
        <f>COUNTIFS($A$2:A104,A104)</f>
        <v>3</v>
      </c>
      <c r="C104" s="13">
        <f t="shared" si="13"/>
        <v>0.25</v>
      </c>
      <c r="D104" s="14">
        <v>46107</v>
      </c>
      <c r="E104" s="14" t="str">
        <f t="shared" si="14"/>
        <v>Thu</v>
      </c>
      <c r="F104" s="14" t="s">
        <v>36</v>
      </c>
      <c r="G104" s="14" t="str">
        <f t="shared" si="15"/>
        <v>Week 4</v>
      </c>
      <c r="H104" s="14" t="str">
        <f t="shared" si="16"/>
        <v>Weekday</v>
      </c>
      <c r="I104" s="14" t="str">
        <f t="shared" si="17"/>
        <v>Mar</v>
      </c>
      <c r="J104" s="15" t="s">
        <v>42</v>
      </c>
      <c r="K104" s="15" t="s">
        <v>43</v>
      </c>
      <c r="L104" s="15" t="s">
        <v>33</v>
      </c>
      <c r="M104" s="13">
        <v>3</v>
      </c>
      <c r="N104" s="15">
        <v>990</v>
      </c>
      <c r="O104" s="15">
        <v>935</v>
      </c>
      <c r="P104" s="16">
        <f t="shared" si="18"/>
        <v>0.94444444444444442</v>
      </c>
      <c r="Q104" s="15" t="str">
        <f t="shared" si="19"/>
        <v>P0 Critical</v>
      </c>
      <c r="R104" s="15">
        <v>35</v>
      </c>
      <c r="S104" s="16">
        <f t="shared" si="20"/>
        <v>3.7433155080213901E-2</v>
      </c>
      <c r="T104" s="15" t="str">
        <f t="shared" si="21"/>
        <v>P2 Observe</v>
      </c>
      <c r="U104" s="15">
        <v>20</v>
      </c>
      <c r="V104" s="16">
        <f t="shared" si="22"/>
        <v>0.5714285714285714</v>
      </c>
      <c r="W104" s="15"/>
      <c r="X104" s="16">
        <f t="shared" si="23"/>
        <v>2.0202020202020204E-2</v>
      </c>
      <c r="Y104" s="15" t="str">
        <f t="shared" si="24"/>
        <v>P2 Observe</v>
      </c>
      <c r="Z104" s="13">
        <v>31</v>
      </c>
      <c r="AA104" s="17">
        <f t="shared" si="25"/>
        <v>0</v>
      </c>
    </row>
    <row r="105" spans="1:27" ht="16.5" x14ac:dyDescent="0.55000000000000004">
      <c r="A105" s="12" t="s">
        <v>64</v>
      </c>
      <c r="B105" s="13">
        <f>COUNTIFS($A$2:A105,A105)</f>
        <v>4</v>
      </c>
      <c r="C105" s="13">
        <f t="shared" si="13"/>
        <v>0.25</v>
      </c>
      <c r="D105" s="14">
        <v>46107</v>
      </c>
      <c r="E105" s="14" t="str">
        <f t="shared" si="14"/>
        <v>Thu</v>
      </c>
      <c r="F105" s="14" t="s">
        <v>36</v>
      </c>
      <c r="G105" s="14" t="str">
        <f t="shared" si="15"/>
        <v>Week 4</v>
      </c>
      <c r="H105" s="14" t="str">
        <f t="shared" si="16"/>
        <v>Weekday</v>
      </c>
      <c r="I105" s="14" t="str">
        <f t="shared" si="17"/>
        <v>Mar</v>
      </c>
      <c r="J105" s="15" t="s">
        <v>42</v>
      </c>
      <c r="K105" s="15" t="s">
        <v>43</v>
      </c>
      <c r="L105" s="15" t="s">
        <v>34</v>
      </c>
      <c r="M105" s="13">
        <v>4</v>
      </c>
      <c r="N105" s="15">
        <v>950</v>
      </c>
      <c r="O105" s="15">
        <v>895</v>
      </c>
      <c r="P105" s="16">
        <f t="shared" si="18"/>
        <v>0.94210526315789478</v>
      </c>
      <c r="Q105" s="15" t="str">
        <f t="shared" si="19"/>
        <v>P0 Critical</v>
      </c>
      <c r="R105" s="15">
        <v>35</v>
      </c>
      <c r="S105" s="16">
        <f t="shared" si="20"/>
        <v>3.9106145251396648E-2</v>
      </c>
      <c r="T105" s="15" t="str">
        <f t="shared" si="21"/>
        <v>P2 Observe</v>
      </c>
      <c r="U105" s="15">
        <v>20</v>
      </c>
      <c r="V105" s="16">
        <f t="shared" si="22"/>
        <v>0.5714285714285714</v>
      </c>
      <c r="W105" s="15"/>
      <c r="X105" s="16">
        <f t="shared" si="23"/>
        <v>2.1052631578947368E-2</v>
      </c>
      <c r="Y105" s="15" t="str">
        <f t="shared" si="24"/>
        <v>P2 Observe</v>
      </c>
      <c r="Z105" s="13">
        <v>29</v>
      </c>
      <c r="AA105" s="17">
        <f t="shared" si="25"/>
        <v>0</v>
      </c>
    </row>
    <row r="106" spans="1:27" ht="16.5" x14ac:dyDescent="0.55000000000000004">
      <c r="A106" s="12" t="s">
        <v>65</v>
      </c>
      <c r="B106" s="13">
        <f>COUNTIFS($A$2:A106,A106)</f>
        <v>1</v>
      </c>
      <c r="C106" s="13">
        <f t="shared" si="13"/>
        <v>0.25</v>
      </c>
      <c r="D106" s="14">
        <v>46108</v>
      </c>
      <c r="E106" s="14" t="str">
        <f t="shared" si="14"/>
        <v>Fri</v>
      </c>
      <c r="F106" s="14" t="s">
        <v>28</v>
      </c>
      <c r="G106" s="14" t="str">
        <f t="shared" si="15"/>
        <v>Week 4</v>
      </c>
      <c r="H106" s="14" t="str">
        <f t="shared" si="16"/>
        <v>Weekday</v>
      </c>
      <c r="I106" s="14" t="str">
        <f t="shared" si="17"/>
        <v>Mar</v>
      </c>
      <c r="J106" s="15" t="s">
        <v>29</v>
      </c>
      <c r="K106" s="15" t="s">
        <v>30</v>
      </c>
      <c r="L106" s="15" t="s">
        <v>31</v>
      </c>
      <c r="M106" s="13">
        <v>1</v>
      </c>
      <c r="N106" s="15">
        <v>1110</v>
      </c>
      <c r="O106" s="15">
        <v>1065</v>
      </c>
      <c r="P106" s="16">
        <f t="shared" si="18"/>
        <v>0.95945945945945943</v>
      </c>
      <c r="Q106" s="15" t="str">
        <f t="shared" si="19"/>
        <v>P2 Observe</v>
      </c>
      <c r="R106" s="15">
        <v>30</v>
      </c>
      <c r="S106" s="16">
        <f t="shared" si="20"/>
        <v>2.8169014084507043E-2</v>
      </c>
      <c r="T106" s="15" t="str">
        <f t="shared" si="21"/>
        <v>P0 Critical</v>
      </c>
      <c r="U106" s="15">
        <v>15</v>
      </c>
      <c r="V106" s="16">
        <f t="shared" si="22"/>
        <v>0.5</v>
      </c>
      <c r="W106" s="15"/>
      <c r="X106" s="16">
        <f t="shared" si="23"/>
        <v>1.3513513513513514E-2</v>
      </c>
      <c r="Y106" s="15" t="str">
        <f t="shared" si="24"/>
        <v>P0 Critical</v>
      </c>
      <c r="Z106" s="13">
        <v>22</v>
      </c>
      <c r="AA106" s="17">
        <f t="shared" si="25"/>
        <v>0</v>
      </c>
    </row>
    <row r="107" spans="1:27" ht="16.5" x14ac:dyDescent="0.55000000000000004">
      <c r="A107" s="12" t="s">
        <v>65</v>
      </c>
      <c r="B107" s="13">
        <f>COUNTIFS($A$2:A107,A107)</f>
        <v>2</v>
      </c>
      <c r="C107" s="13">
        <f t="shared" si="13"/>
        <v>0.25</v>
      </c>
      <c r="D107" s="14">
        <v>46108</v>
      </c>
      <c r="E107" s="14" t="str">
        <f t="shared" si="14"/>
        <v>Fri</v>
      </c>
      <c r="F107" s="14" t="s">
        <v>28</v>
      </c>
      <c r="G107" s="14" t="str">
        <f t="shared" si="15"/>
        <v>Week 4</v>
      </c>
      <c r="H107" s="14" t="str">
        <f t="shared" si="16"/>
        <v>Weekday</v>
      </c>
      <c r="I107" s="14" t="str">
        <f t="shared" si="17"/>
        <v>Mar</v>
      </c>
      <c r="J107" s="15" t="s">
        <v>29</v>
      </c>
      <c r="K107" s="15" t="s">
        <v>30</v>
      </c>
      <c r="L107" s="15" t="s">
        <v>32</v>
      </c>
      <c r="M107" s="13">
        <v>2</v>
      </c>
      <c r="N107" s="15">
        <v>1075</v>
      </c>
      <c r="O107" s="15">
        <v>1020</v>
      </c>
      <c r="P107" s="16">
        <f t="shared" si="18"/>
        <v>0.94883720930232562</v>
      </c>
      <c r="Q107" s="15" t="str">
        <f t="shared" si="19"/>
        <v>P1 Attention</v>
      </c>
      <c r="R107" s="15">
        <v>35</v>
      </c>
      <c r="S107" s="16">
        <f t="shared" si="20"/>
        <v>3.4313725490196081E-2</v>
      </c>
      <c r="T107" s="15" t="str">
        <f t="shared" si="21"/>
        <v>P1 Attention</v>
      </c>
      <c r="U107" s="15">
        <v>20</v>
      </c>
      <c r="V107" s="16">
        <f t="shared" si="22"/>
        <v>0.5714285714285714</v>
      </c>
      <c r="W107" s="15"/>
      <c r="X107" s="16">
        <f t="shared" si="23"/>
        <v>1.8604651162790697E-2</v>
      </c>
      <c r="Y107" s="15" t="str">
        <f t="shared" si="24"/>
        <v>P1 Attention</v>
      </c>
      <c r="Z107" s="13">
        <v>38</v>
      </c>
      <c r="AA107" s="17">
        <f t="shared" si="25"/>
        <v>0</v>
      </c>
    </row>
    <row r="108" spans="1:27" ht="16.5" x14ac:dyDescent="0.55000000000000004">
      <c r="A108" s="12" t="s">
        <v>65</v>
      </c>
      <c r="B108" s="13">
        <f>COUNTIFS($A$2:A108,A108)</f>
        <v>3</v>
      </c>
      <c r="C108" s="13">
        <f t="shared" si="13"/>
        <v>0.25</v>
      </c>
      <c r="D108" s="14">
        <v>46108</v>
      </c>
      <c r="E108" s="14" t="str">
        <f t="shared" si="14"/>
        <v>Fri</v>
      </c>
      <c r="F108" s="14" t="s">
        <v>28</v>
      </c>
      <c r="G108" s="14" t="str">
        <f t="shared" si="15"/>
        <v>Week 4</v>
      </c>
      <c r="H108" s="14" t="str">
        <f t="shared" si="16"/>
        <v>Weekday</v>
      </c>
      <c r="I108" s="14" t="str">
        <f t="shared" si="17"/>
        <v>Mar</v>
      </c>
      <c r="J108" s="15" t="s">
        <v>29</v>
      </c>
      <c r="K108" s="15" t="s">
        <v>30</v>
      </c>
      <c r="L108" s="15" t="s">
        <v>33</v>
      </c>
      <c r="M108" s="13">
        <v>3</v>
      </c>
      <c r="N108" s="15">
        <v>1095</v>
      </c>
      <c r="O108" s="15">
        <v>1040</v>
      </c>
      <c r="P108" s="16">
        <f t="shared" si="18"/>
        <v>0.94977168949771684</v>
      </c>
      <c r="Q108" s="15" t="str">
        <f t="shared" si="19"/>
        <v>P1 Attention</v>
      </c>
      <c r="R108" s="15">
        <v>35</v>
      </c>
      <c r="S108" s="16">
        <f t="shared" si="20"/>
        <v>3.3653846153846152E-2</v>
      </c>
      <c r="T108" s="15" t="str">
        <f t="shared" si="21"/>
        <v>P1 Attention</v>
      </c>
      <c r="U108" s="15">
        <v>20</v>
      </c>
      <c r="V108" s="16">
        <f t="shared" si="22"/>
        <v>0.5714285714285714</v>
      </c>
      <c r="W108" s="15"/>
      <c r="X108" s="16">
        <f t="shared" si="23"/>
        <v>1.8264840182648401E-2</v>
      </c>
      <c r="Y108" s="15" t="str">
        <f t="shared" si="24"/>
        <v>P0 Critical</v>
      </c>
      <c r="Z108" s="13">
        <v>34</v>
      </c>
      <c r="AA108" s="17">
        <f t="shared" si="25"/>
        <v>0</v>
      </c>
    </row>
    <row r="109" spans="1:27" ht="16.5" x14ac:dyDescent="0.55000000000000004">
      <c r="A109" s="12" t="s">
        <v>65</v>
      </c>
      <c r="B109" s="13">
        <f>COUNTIFS($A$2:A109,A109)</f>
        <v>4</v>
      </c>
      <c r="C109" s="13">
        <f t="shared" si="13"/>
        <v>0.25</v>
      </c>
      <c r="D109" s="14">
        <v>46108</v>
      </c>
      <c r="E109" s="14" t="str">
        <f t="shared" si="14"/>
        <v>Fri</v>
      </c>
      <c r="F109" s="14" t="s">
        <v>28</v>
      </c>
      <c r="G109" s="14" t="str">
        <f t="shared" si="15"/>
        <v>Week 4</v>
      </c>
      <c r="H109" s="14" t="str">
        <f t="shared" si="16"/>
        <v>Weekday</v>
      </c>
      <c r="I109" s="14" t="str">
        <f t="shared" si="17"/>
        <v>Mar</v>
      </c>
      <c r="J109" s="15" t="s">
        <v>29</v>
      </c>
      <c r="K109" s="15" t="s">
        <v>30</v>
      </c>
      <c r="L109" s="15" t="s">
        <v>34</v>
      </c>
      <c r="M109" s="13">
        <v>4</v>
      </c>
      <c r="N109" s="15">
        <v>1055</v>
      </c>
      <c r="O109" s="15">
        <v>1000</v>
      </c>
      <c r="P109" s="16">
        <f t="shared" si="18"/>
        <v>0.94786729857819907</v>
      </c>
      <c r="Q109" s="15" t="str">
        <f t="shared" si="19"/>
        <v>P1 Attention</v>
      </c>
      <c r="R109" s="15">
        <v>35</v>
      </c>
      <c r="S109" s="16">
        <f t="shared" si="20"/>
        <v>3.5000000000000003E-2</v>
      </c>
      <c r="T109" s="15" t="str">
        <f t="shared" si="21"/>
        <v>P1 Attention</v>
      </c>
      <c r="U109" s="15">
        <v>20</v>
      </c>
      <c r="V109" s="16">
        <f t="shared" si="22"/>
        <v>0.5714285714285714</v>
      </c>
      <c r="W109" s="15"/>
      <c r="X109" s="16">
        <f t="shared" si="23"/>
        <v>1.8957345971563982E-2</v>
      </c>
      <c r="Y109" s="15" t="str">
        <f t="shared" si="24"/>
        <v>P1 Attention</v>
      </c>
      <c r="Z109" s="13">
        <v>30</v>
      </c>
      <c r="AA109" s="17">
        <f t="shared" si="25"/>
        <v>0</v>
      </c>
    </row>
    <row r="110" spans="1:27" ht="16.5" x14ac:dyDescent="0.55000000000000004">
      <c r="A110" s="12" t="s">
        <v>66</v>
      </c>
      <c r="B110" s="13">
        <f>COUNTIFS($A$2:A110,A110)</f>
        <v>1</v>
      </c>
      <c r="C110" s="13">
        <f t="shared" si="13"/>
        <v>0.25</v>
      </c>
      <c r="D110" s="14">
        <v>46109</v>
      </c>
      <c r="E110" s="14" t="str">
        <f t="shared" si="14"/>
        <v>Sat</v>
      </c>
      <c r="F110" s="14" t="s">
        <v>28</v>
      </c>
      <c r="G110" s="14" t="str">
        <f t="shared" si="15"/>
        <v>Week 4</v>
      </c>
      <c r="H110" s="14" t="str">
        <f t="shared" si="16"/>
        <v>Weekend</v>
      </c>
      <c r="I110" s="14" t="str">
        <f t="shared" si="17"/>
        <v>Mar</v>
      </c>
      <c r="J110" s="15" t="s">
        <v>38</v>
      </c>
      <c r="K110" s="15" t="s">
        <v>39</v>
      </c>
      <c r="L110" s="15" t="s">
        <v>31</v>
      </c>
      <c r="M110" s="13">
        <v>1</v>
      </c>
      <c r="N110" s="15">
        <v>960</v>
      </c>
      <c r="O110" s="15">
        <v>920</v>
      </c>
      <c r="P110" s="16">
        <f t="shared" si="18"/>
        <v>0.95833333333333337</v>
      </c>
      <c r="Q110" s="15" t="str">
        <f t="shared" si="19"/>
        <v>P2 Observe</v>
      </c>
      <c r="R110" s="15">
        <v>25</v>
      </c>
      <c r="S110" s="16">
        <f t="shared" si="20"/>
        <v>2.717391304347826E-2</v>
      </c>
      <c r="T110" s="15" t="str">
        <f t="shared" si="21"/>
        <v>P0 Critical</v>
      </c>
      <c r="U110" s="15">
        <v>15</v>
      </c>
      <c r="V110" s="16">
        <f t="shared" si="22"/>
        <v>0.6</v>
      </c>
      <c r="W110" s="15"/>
      <c r="X110" s="16">
        <f t="shared" si="23"/>
        <v>1.5625E-2</v>
      </c>
      <c r="Y110" s="15" t="str">
        <f t="shared" si="24"/>
        <v>P0 Critical</v>
      </c>
      <c r="Z110" s="13">
        <v>18</v>
      </c>
      <c r="AA110" s="17">
        <f t="shared" si="25"/>
        <v>0</v>
      </c>
    </row>
    <row r="111" spans="1:27" ht="16.5" x14ac:dyDescent="0.55000000000000004">
      <c r="A111" s="12" t="s">
        <v>66</v>
      </c>
      <c r="B111" s="13">
        <f>COUNTIFS($A$2:A111,A111)</f>
        <v>2</v>
      </c>
      <c r="C111" s="13">
        <f t="shared" si="13"/>
        <v>0.25</v>
      </c>
      <c r="D111" s="14">
        <v>46109</v>
      </c>
      <c r="E111" s="14" t="str">
        <f t="shared" si="14"/>
        <v>Sat</v>
      </c>
      <c r="F111" s="14" t="s">
        <v>28</v>
      </c>
      <c r="G111" s="14" t="str">
        <f t="shared" si="15"/>
        <v>Week 4</v>
      </c>
      <c r="H111" s="14" t="str">
        <f t="shared" si="16"/>
        <v>Weekend</v>
      </c>
      <c r="I111" s="14" t="str">
        <f t="shared" si="17"/>
        <v>Mar</v>
      </c>
      <c r="J111" s="15" t="s">
        <v>38</v>
      </c>
      <c r="K111" s="15" t="s">
        <v>39</v>
      </c>
      <c r="L111" s="15" t="s">
        <v>32</v>
      </c>
      <c r="M111" s="13">
        <v>2</v>
      </c>
      <c r="N111" s="15">
        <v>925</v>
      </c>
      <c r="O111" s="15">
        <v>875</v>
      </c>
      <c r="P111" s="16">
        <f t="shared" si="18"/>
        <v>0.94594594594594594</v>
      </c>
      <c r="Q111" s="15" t="str">
        <f t="shared" si="19"/>
        <v>P1 Attention</v>
      </c>
      <c r="R111" s="15">
        <v>35</v>
      </c>
      <c r="S111" s="16">
        <f t="shared" si="20"/>
        <v>0.04</v>
      </c>
      <c r="T111" s="15" t="str">
        <f t="shared" si="21"/>
        <v>P2 Observe</v>
      </c>
      <c r="U111" s="15">
        <v>15</v>
      </c>
      <c r="V111" s="16">
        <f t="shared" si="22"/>
        <v>0.42857142857142855</v>
      </c>
      <c r="W111" s="15"/>
      <c r="X111" s="16">
        <f t="shared" si="23"/>
        <v>1.6216216216216217E-2</v>
      </c>
      <c r="Y111" s="15" t="str">
        <f t="shared" si="24"/>
        <v>P0 Critical</v>
      </c>
      <c r="Z111" s="13">
        <v>30</v>
      </c>
      <c r="AA111" s="17">
        <f t="shared" si="25"/>
        <v>0</v>
      </c>
    </row>
    <row r="112" spans="1:27" ht="16.5" x14ac:dyDescent="0.55000000000000004">
      <c r="A112" s="12" t="s">
        <v>66</v>
      </c>
      <c r="B112" s="13">
        <f>COUNTIFS($A$2:A112,A112)</f>
        <v>3</v>
      </c>
      <c r="C112" s="13">
        <f t="shared" si="13"/>
        <v>0.25</v>
      </c>
      <c r="D112" s="14">
        <v>46109</v>
      </c>
      <c r="E112" s="14" t="str">
        <f t="shared" si="14"/>
        <v>Sat</v>
      </c>
      <c r="F112" s="14" t="s">
        <v>28</v>
      </c>
      <c r="G112" s="14" t="str">
        <f t="shared" si="15"/>
        <v>Week 4</v>
      </c>
      <c r="H112" s="14" t="str">
        <f t="shared" si="16"/>
        <v>Weekend</v>
      </c>
      <c r="I112" s="14" t="str">
        <f t="shared" si="17"/>
        <v>Mar</v>
      </c>
      <c r="J112" s="15" t="s">
        <v>38</v>
      </c>
      <c r="K112" s="15" t="s">
        <v>39</v>
      </c>
      <c r="L112" s="15" t="s">
        <v>33</v>
      </c>
      <c r="M112" s="13">
        <v>3</v>
      </c>
      <c r="N112" s="15">
        <v>945</v>
      </c>
      <c r="O112" s="15">
        <v>895</v>
      </c>
      <c r="P112" s="16">
        <f t="shared" si="18"/>
        <v>0.94708994708994709</v>
      </c>
      <c r="Q112" s="15" t="str">
        <f t="shared" si="19"/>
        <v>P1 Attention</v>
      </c>
      <c r="R112" s="15">
        <v>30</v>
      </c>
      <c r="S112" s="16">
        <f t="shared" si="20"/>
        <v>3.3519553072625698E-2</v>
      </c>
      <c r="T112" s="15" t="str">
        <f t="shared" si="21"/>
        <v>P1 Attention</v>
      </c>
      <c r="U112" s="15">
        <v>20</v>
      </c>
      <c r="V112" s="16">
        <f t="shared" si="22"/>
        <v>0.66666666666666663</v>
      </c>
      <c r="W112" s="15"/>
      <c r="X112" s="16">
        <f t="shared" si="23"/>
        <v>2.1164021164021163E-2</v>
      </c>
      <c r="Y112" s="15" t="str">
        <f t="shared" si="24"/>
        <v>P2 Observe</v>
      </c>
      <c r="Z112" s="13">
        <v>26</v>
      </c>
      <c r="AA112" s="17">
        <f t="shared" si="25"/>
        <v>0</v>
      </c>
    </row>
    <row r="113" spans="1:27" ht="16.5" x14ac:dyDescent="0.55000000000000004">
      <c r="A113" s="12" t="s">
        <v>66</v>
      </c>
      <c r="B113" s="13">
        <f>COUNTIFS($A$2:A113,A113)</f>
        <v>4</v>
      </c>
      <c r="C113" s="13">
        <f t="shared" si="13"/>
        <v>0.25</v>
      </c>
      <c r="D113" s="14">
        <v>46109</v>
      </c>
      <c r="E113" s="14" t="str">
        <f t="shared" si="14"/>
        <v>Sat</v>
      </c>
      <c r="F113" s="14" t="s">
        <v>28</v>
      </c>
      <c r="G113" s="14" t="str">
        <f t="shared" si="15"/>
        <v>Week 4</v>
      </c>
      <c r="H113" s="14" t="str">
        <f t="shared" si="16"/>
        <v>Weekend</v>
      </c>
      <c r="I113" s="14" t="str">
        <f t="shared" si="17"/>
        <v>Mar</v>
      </c>
      <c r="J113" s="15" t="s">
        <v>38</v>
      </c>
      <c r="K113" s="15" t="s">
        <v>39</v>
      </c>
      <c r="L113" s="15" t="s">
        <v>34</v>
      </c>
      <c r="M113" s="13">
        <v>4</v>
      </c>
      <c r="N113" s="15">
        <v>910</v>
      </c>
      <c r="O113" s="15">
        <v>860</v>
      </c>
      <c r="P113" s="16">
        <f t="shared" si="18"/>
        <v>0.94505494505494503</v>
      </c>
      <c r="Q113" s="15" t="str">
        <f t="shared" si="19"/>
        <v>P0 Critical</v>
      </c>
      <c r="R113" s="15">
        <v>30</v>
      </c>
      <c r="S113" s="16">
        <f t="shared" si="20"/>
        <v>3.4883720930232558E-2</v>
      </c>
      <c r="T113" s="15" t="str">
        <f t="shared" si="21"/>
        <v>P1 Attention</v>
      </c>
      <c r="U113" s="15">
        <v>20</v>
      </c>
      <c r="V113" s="16">
        <f t="shared" si="22"/>
        <v>0.66666666666666663</v>
      </c>
      <c r="W113" s="15"/>
      <c r="X113" s="16">
        <f t="shared" si="23"/>
        <v>2.197802197802198E-2</v>
      </c>
      <c r="Y113" s="15" t="str">
        <f t="shared" si="24"/>
        <v>P2 Observe</v>
      </c>
      <c r="Z113" s="13">
        <v>24</v>
      </c>
      <c r="AA113" s="17">
        <f t="shared" si="25"/>
        <v>0</v>
      </c>
    </row>
    <row r="114" spans="1:27" ht="16.5" x14ac:dyDescent="0.55000000000000004">
      <c r="A114" s="12" t="s">
        <v>67</v>
      </c>
      <c r="B114" s="13">
        <f>COUNTIFS($A$2:A114,A114)</f>
        <v>1</v>
      </c>
      <c r="C114" s="13">
        <f t="shared" si="13"/>
        <v>0.25</v>
      </c>
      <c r="D114" s="14">
        <v>46110</v>
      </c>
      <c r="E114" s="14" t="str">
        <f t="shared" si="14"/>
        <v>Sun</v>
      </c>
      <c r="F114" s="14" t="s">
        <v>28</v>
      </c>
      <c r="G114" s="14" t="str">
        <f t="shared" si="15"/>
        <v>Week 4</v>
      </c>
      <c r="H114" s="14" t="str">
        <f t="shared" si="16"/>
        <v>Weekend</v>
      </c>
      <c r="I114" s="14" t="str">
        <f t="shared" si="17"/>
        <v>Mar</v>
      </c>
      <c r="J114" s="15" t="s">
        <v>42</v>
      </c>
      <c r="K114" s="15" t="s">
        <v>43</v>
      </c>
      <c r="L114" s="15" t="s">
        <v>31</v>
      </c>
      <c r="M114" s="13">
        <v>1</v>
      </c>
      <c r="N114" s="15">
        <v>1015</v>
      </c>
      <c r="O114" s="15">
        <v>970</v>
      </c>
      <c r="P114" s="16">
        <f t="shared" si="18"/>
        <v>0.95566502463054193</v>
      </c>
      <c r="Q114" s="15" t="str">
        <f t="shared" si="19"/>
        <v>P2 Observe</v>
      </c>
      <c r="R114" s="15">
        <v>30</v>
      </c>
      <c r="S114" s="16">
        <f t="shared" si="20"/>
        <v>3.0927835051546393E-2</v>
      </c>
      <c r="T114" s="15" t="str">
        <f t="shared" si="21"/>
        <v>P0 Critical</v>
      </c>
      <c r="U114" s="15">
        <v>15</v>
      </c>
      <c r="V114" s="16">
        <f t="shared" si="22"/>
        <v>0.5</v>
      </c>
      <c r="W114" s="15"/>
      <c r="X114" s="16">
        <f t="shared" si="23"/>
        <v>1.4778325123152709E-2</v>
      </c>
      <c r="Y114" s="15" t="str">
        <f t="shared" si="24"/>
        <v>P0 Critical</v>
      </c>
      <c r="Z114" s="13">
        <v>22</v>
      </c>
      <c r="AA114" s="17">
        <f t="shared" si="25"/>
        <v>0</v>
      </c>
    </row>
    <row r="115" spans="1:27" ht="16.5" x14ac:dyDescent="0.55000000000000004">
      <c r="A115" s="12" t="s">
        <v>67</v>
      </c>
      <c r="B115" s="13">
        <f>COUNTIFS($A$2:A115,A115)</f>
        <v>2</v>
      </c>
      <c r="C115" s="13">
        <f t="shared" si="13"/>
        <v>0.25</v>
      </c>
      <c r="D115" s="14">
        <v>46110</v>
      </c>
      <c r="E115" s="14" t="str">
        <f t="shared" si="14"/>
        <v>Sun</v>
      </c>
      <c r="F115" s="14" t="s">
        <v>28</v>
      </c>
      <c r="G115" s="14" t="str">
        <f t="shared" si="15"/>
        <v>Week 4</v>
      </c>
      <c r="H115" s="14" t="str">
        <f t="shared" si="16"/>
        <v>Weekend</v>
      </c>
      <c r="I115" s="14" t="str">
        <f t="shared" si="17"/>
        <v>Mar</v>
      </c>
      <c r="J115" s="15" t="s">
        <v>42</v>
      </c>
      <c r="K115" s="15" t="s">
        <v>43</v>
      </c>
      <c r="L115" s="15" t="s">
        <v>32</v>
      </c>
      <c r="M115" s="13">
        <v>2</v>
      </c>
      <c r="N115" s="15">
        <v>980</v>
      </c>
      <c r="O115" s="15">
        <v>925</v>
      </c>
      <c r="P115" s="16">
        <f t="shared" si="18"/>
        <v>0.94387755102040816</v>
      </c>
      <c r="Q115" s="15" t="str">
        <f t="shared" si="19"/>
        <v>P0 Critical</v>
      </c>
      <c r="R115" s="15">
        <v>35</v>
      </c>
      <c r="S115" s="16">
        <f t="shared" si="20"/>
        <v>3.783783783783784E-2</v>
      </c>
      <c r="T115" s="15" t="str">
        <f t="shared" si="21"/>
        <v>P2 Observe</v>
      </c>
      <c r="U115" s="15">
        <v>20</v>
      </c>
      <c r="V115" s="16">
        <f t="shared" si="22"/>
        <v>0.5714285714285714</v>
      </c>
      <c r="W115" s="15"/>
      <c r="X115" s="16">
        <f t="shared" si="23"/>
        <v>2.0408163265306121E-2</v>
      </c>
      <c r="Y115" s="15" t="str">
        <f t="shared" si="24"/>
        <v>P2 Observe</v>
      </c>
      <c r="Z115" s="13">
        <v>34</v>
      </c>
      <c r="AA115" s="17">
        <f t="shared" si="25"/>
        <v>0</v>
      </c>
    </row>
    <row r="116" spans="1:27" ht="16.5" x14ac:dyDescent="0.55000000000000004">
      <c r="A116" s="12" t="s">
        <v>67</v>
      </c>
      <c r="B116" s="13">
        <f>COUNTIFS($A$2:A116,A116)</f>
        <v>3</v>
      </c>
      <c r="C116" s="13">
        <f t="shared" si="13"/>
        <v>0.25</v>
      </c>
      <c r="D116" s="14">
        <v>46110</v>
      </c>
      <c r="E116" s="14" t="str">
        <f t="shared" si="14"/>
        <v>Sun</v>
      </c>
      <c r="F116" s="14" t="s">
        <v>28</v>
      </c>
      <c r="G116" s="14" t="str">
        <f t="shared" si="15"/>
        <v>Week 4</v>
      </c>
      <c r="H116" s="14" t="str">
        <f t="shared" si="16"/>
        <v>Weekend</v>
      </c>
      <c r="I116" s="14" t="str">
        <f t="shared" si="17"/>
        <v>Mar</v>
      </c>
      <c r="J116" s="15" t="s">
        <v>42</v>
      </c>
      <c r="K116" s="15" t="s">
        <v>43</v>
      </c>
      <c r="L116" s="15" t="s">
        <v>33</v>
      </c>
      <c r="M116" s="13">
        <v>3</v>
      </c>
      <c r="N116" s="15">
        <v>1000</v>
      </c>
      <c r="O116" s="15">
        <v>945</v>
      </c>
      <c r="P116" s="16">
        <f t="shared" si="18"/>
        <v>0.94499999999999995</v>
      </c>
      <c r="Q116" s="15" t="str">
        <f t="shared" si="19"/>
        <v>P0 Critical</v>
      </c>
      <c r="R116" s="15">
        <v>35</v>
      </c>
      <c r="S116" s="16">
        <f t="shared" si="20"/>
        <v>3.7037037037037035E-2</v>
      </c>
      <c r="T116" s="15" t="str">
        <f t="shared" si="21"/>
        <v>P2 Observe</v>
      </c>
      <c r="U116" s="15">
        <v>20</v>
      </c>
      <c r="V116" s="16">
        <f t="shared" si="22"/>
        <v>0.5714285714285714</v>
      </c>
      <c r="W116" s="15"/>
      <c r="X116" s="16">
        <f t="shared" si="23"/>
        <v>0.02</v>
      </c>
      <c r="Y116" s="15" t="str">
        <f t="shared" si="24"/>
        <v>P1 Attention</v>
      </c>
      <c r="Z116" s="13">
        <v>30</v>
      </c>
      <c r="AA116" s="17">
        <f t="shared" si="25"/>
        <v>0</v>
      </c>
    </row>
    <row r="117" spans="1:27" ht="16.5" x14ac:dyDescent="0.55000000000000004">
      <c r="A117" s="12" t="s">
        <v>67</v>
      </c>
      <c r="B117" s="13">
        <f>COUNTIFS($A$2:A117,A117)</f>
        <v>4</v>
      </c>
      <c r="C117" s="13">
        <f t="shared" si="13"/>
        <v>0.25</v>
      </c>
      <c r="D117" s="14">
        <v>46110</v>
      </c>
      <c r="E117" s="14" t="str">
        <f t="shared" si="14"/>
        <v>Sun</v>
      </c>
      <c r="F117" s="14" t="s">
        <v>28</v>
      </c>
      <c r="G117" s="14" t="str">
        <f t="shared" si="15"/>
        <v>Week 4</v>
      </c>
      <c r="H117" s="14" t="str">
        <f t="shared" si="16"/>
        <v>Weekend</v>
      </c>
      <c r="I117" s="14" t="str">
        <f t="shared" si="17"/>
        <v>Mar</v>
      </c>
      <c r="J117" s="15" t="s">
        <v>42</v>
      </c>
      <c r="K117" s="15" t="s">
        <v>43</v>
      </c>
      <c r="L117" s="15" t="s">
        <v>34</v>
      </c>
      <c r="M117" s="13">
        <v>4</v>
      </c>
      <c r="N117" s="15">
        <v>960</v>
      </c>
      <c r="O117" s="15">
        <v>905</v>
      </c>
      <c r="P117" s="16">
        <f t="shared" si="18"/>
        <v>0.94270833333333337</v>
      </c>
      <c r="Q117" s="15" t="str">
        <f t="shared" si="19"/>
        <v>P0 Critical</v>
      </c>
      <c r="R117" s="15">
        <v>35</v>
      </c>
      <c r="S117" s="16">
        <f t="shared" si="20"/>
        <v>3.8674033149171269E-2</v>
      </c>
      <c r="T117" s="15" t="str">
        <f t="shared" si="21"/>
        <v>P2 Observe</v>
      </c>
      <c r="U117" s="15">
        <v>20</v>
      </c>
      <c r="V117" s="16">
        <f t="shared" si="22"/>
        <v>0.5714285714285714</v>
      </c>
      <c r="W117" s="15"/>
      <c r="X117" s="16">
        <f t="shared" si="23"/>
        <v>2.0833333333333332E-2</v>
      </c>
      <c r="Y117" s="15" t="str">
        <f t="shared" si="24"/>
        <v>P2 Observe</v>
      </c>
      <c r="Z117" s="13">
        <v>28</v>
      </c>
      <c r="AA117" s="17">
        <f t="shared" si="25"/>
        <v>0</v>
      </c>
    </row>
    <row r="118" spans="1:27" ht="16.5" x14ac:dyDescent="0.55000000000000004">
      <c r="A118" s="12" t="s">
        <v>68</v>
      </c>
      <c r="B118" s="13">
        <f>COUNTIFS($A$2:A118,A118)</f>
        <v>1</v>
      </c>
      <c r="C118" s="13">
        <f t="shared" si="13"/>
        <v>0.25</v>
      </c>
      <c r="D118" s="14">
        <v>46111</v>
      </c>
      <c r="E118" s="14" t="str">
        <f t="shared" si="14"/>
        <v>Mon</v>
      </c>
      <c r="F118" s="14" t="s">
        <v>28</v>
      </c>
      <c r="G118" s="14" t="str">
        <f t="shared" si="15"/>
        <v>Week 4</v>
      </c>
      <c r="H118" s="14" t="str">
        <f t="shared" si="16"/>
        <v>Weekday</v>
      </c>
      <c r="I118" s="14" t="str">
        <f t="shared" si="17"/>
        <v>Mar</v>
      </c>
      <c r="J118" s="15" t="s">
        <v>29</v>
      </c>
      <c r="K118" s="15" t="s">
        <v>30</v>
      </c>
      <c r="L118" s="15" t="s">
        <v>31</v>
      </c>
      <c r="M118" s="13">
        <v>1</v>
      </c>
      <c r="N118" s="15">
        <v>1070</v>
      </c>
      <c r="O118" s="15">
        <v>1025</v>
      </c>
      <c r="P118" s="16">
        <f t="shared" si="18"/>
        <v>0.95794392523364491</v>
      </c>
      <c r="Q118" s="15" t="str">
        <f t="shared" si="19"/>
        <v>P2 Observe</v>
      </c>
      <c r="R118" s="15">
        <v>30</v>
      </c>
      <c r="S118" s="16">
        <f t="shared" si="20"/>
        <v>2.9268292682926831E-2</v>
      </c>
      <c r="T118" s="15" t="str">
        <f t="shared" si="21"/>
        <v>P0 Critical</v>
      </c>
      <c r="U118" s="15">
        <v>15</v>
      </c>
      <c r="V118" s="16">
        <f t="shared" si="22"/>
        <v>0.5</v>
      </c>
      <c r="W118" s="15"/>
      <c r="X118" s="16">
        <f t="shared" si="23"/>
        <v>1.4018691588785047E-2</v>
      </c>
      <c r="Y118" s="15" t="str">
        <f t="shared" si="24"/>
        <v>P0 Critical</v>
      </c>
      <c r="Z118" s="13">
        <v>21</v>
      </c>
      <c r="AA118" s="17">
        <f t="shared" si="25"/>
        <v>0</v>
      </c>
    </row>
    <row r="119" spans="1:27" ht="16.5" x14ac:dyDescent="0.55000000000000004">
      <c r="A119" s="12" t="s">
        <v>68</v>
      </c>
      <c r="B119" s="13">
        <f>COUNTIFS($A$2:A119,A119)</f>
        <v>2</v>
      </c>
      <c r="C119" s="13">
        <f t="shared" si="13"/>
        <v>0.25</v>
      </c>
      <c r="D119" s="14">
        <v>46111</v>
      </c>
      <c r="E119" s="14" t="str">
        <f t="shared" si="14"/>
        <v>Mon</v>
      </c>
      <c r="F119" s="14" t="s">
        <v>28</v>
      </c>
      <c r="G119" s="14" t="str">
        <f t="shared" si="15"/>
        <v>Week 4</v>
      </c>
      <c r="H119" s="14" t="str">
        <f t="shared" si="16"/>
        <v>Weekday</v>
      </c>
      <c r="I119" s="14" t="str">
        <f t="shared" si="17"/>
        <v>Mar</v>
      </c>
      <c r="J119" s="15" t="s">
        <v>29</v>
      </c>
      <c r="K119" s="15" t="s">
        <v>30</v>
      </c>
      <c r="L119" s="15" t="s">
        <v>32</v>
      </c>
      <c r="M119" s="13">
        <v>2</v>
      </c>
      <c r="N119" s="15">
        <v>1035</v>
      </c>
      <c r="O119" s="15">
        <v>980</v>
      </c>
      <c r="P119" s="16">
        <f t="shared" si="18"/>
        <v>0.9468599033816425</v>
      </c>
      <c r="Q119" s="15" t="str">
        <f t="shared" si="19"/>
        <v>P1 Attention</v>
      </c>
      <c r="R119" s="15">
        <v>35</v>
      </c>
      <c r="S119" s="16">
        <f t="shared" si="20"/>
        <v>3.5714285714285712E-2</v>
      </c>
      <c r="T119" s="15" t="str">
        <f t="shared" si="21"/>
        <v>P2 Observe</v>
      </c>
      <c r="U119" s="15">
        <v>20</v>
      </c>
      <c r="V119" s="16">
        <f t="shared" si="22"/>
        <v>0.5714285714285714</v>
      </c>
      <c r="W119" s="15"/>
      <c r="X119" s="16">
        <f t="shared" si="23"/>
        <v>1.932367149758454E-2</v>
      </c>
      <c r="Y119" s="15" t="str">
        <f t="shared" si="24"/>
        <v>P1 Attention</v>
      </c>
      <c r="Z119" s="13">
        <v>37</v>
      </c>
      <c r="AA119" s="17">
        <f t="shared" si="25"/>
        <v>0</v>
      </c>
    </row>
    <row r="120" spans="1:27" ht="16.5" x14ac:dyDescent="0.55000000000000004">
      <c r="A120" s="12" t="s">
        <v>68</v>
      </c>
      <c r="B120" s="13">
        <f>COUNTIFS($A$2:A120,A120)</f>
        <v>3</v>
      </c>
      <c r="C120" s="13">
        <f t="shared" si="13"/>
        <v>0.25</v>
      </c>
      <c r="D120" s="14">
        <v>46111</v>
      </c>
      <c r="E120" s="14" t="str">
        <f t="shared" si="14"/>
        <v>Mon</v>
      </c>
      <c r="F120" s="14" t="s">
        <v>28</v>
      </c>
      <c r="G120" s="14" t="str">
        <f t="shared" si="15"/>
        <v>Week 4</v>
      </c>
      <c r="H120" s="14" t="str">
        <f t="shared" si="16"/>
        <v>Weekday</v>
      </c>
      <c r="I120" s="14" t="str">
        <f t="shared" si="17"/>
        <v>Mar</v>
      </c>
      <c r="J120" s="15" t="s">
        <v>29</v>
      </c>
      <c r="K120" s="15" t="s">
        <v>30</v>
      </c>
      <c r="L120" s="15" t="s">
        <v>33</v>
      </c>
      <c r="M120" s="13">
        <v>3</v>
      </c>
      <c r="N120" s="15">
        <v>1055</v>
      </c>
      <c r="O120" s="15">
        <v>1000</v>
      </c>
      <c r="P120" s="16">
        <f t="shared" si="18"/>
        <v>0.94786729857819907</v>
      </c>
      <c r="Q120" s="15" t="str">
        <f t="shared" si="19"/>
        <v>P1 Attention</v>
      </c>
      <c r="R120" s="15">
        <v>35</v>
      </c>
      <c r="S120" s="16">
        <f t="shared" si="20"/>
        <v>3.5000000000000003E-2</v>
      </c>
      <c r="T120" s="15" t="str">
        <f t="shared" si="21"/>
        <v>P1 Attention</v>
      </c>
      <c r="U120" s="15">
        <v>20</v>
      </c>
      <c r="V120" s="16">
        <f t="shared" si="22"/>
        <v>0.5714285714285714</v>
      </c>
      <c r="W120" s="15"/>
      <c r="X120" s="16">
        <f t="shared" si="23"/>
        <v>1.8957345971563982E-2</v>
      </c>
      <c r="Y120" s="15" t="str">
        <f t="shared" si="24"/>
        <v>P1 Attention</v>
      </c>
      <c r="Z120" s="13">
        <v>33</v>
      </c>
      <c r="AA120" s="17">
        <f t="shared" si="25"/>
        <v>0</v>
      </c>
    </row>
    <row r="121" spans="1:27" ht="16.5" x14ac:dyDescent="0.55000000000000004">
      <c r="A121" s="12" t="s">
        <v>68</v>
      </c>
      <c r="B121" s="13">
        <f>COUNTIFS($A$2:A121,A121)</f>
        <v>4</v>
      </c>
      <c r="C121" s="13">
        <f t="shared" si="13"/>
        <v>0.25</v>
      </c>
      <c r="D121" s="14">
        <v>46111</v>
      </c>
      <c r="E121" s="14" t="str">
        <f t="shared" si="14"/>
        <v>Mon</v>
      </c>
      <c r="F121" s="14" t="s">
        <v>28</v>
      </c>
      <c r="G121" s="14" t="str">
        <f t="shared" si="15"/>
        <v>Week 4</v>
      </c>
      <c r="H121" s="14" t="str">
        <f t="shared" si="16"/>
        <v>Weekday</v>
      </c>
      <c r="I121" s="14" t="str">
        <f t="shared" si="17"/>
        <v>Mar</v>
      </c>
      <c r="J121" s="15" t="s">
        <v>29</v>
      </c>
      <c r="K121" s="15" t="s">
        <v>30</v>
      </c>
      <c r="L121" s="15" t="s">
        <v>34</v>
      </c>
      <c r="M121" s="13">
        <v>4</v>
      </c>
      <c r="N121" s="15">
        <v>1015</v>
      </c>
      <c r="O121" s="15">
        <v>960</v>
      </c>
      <c r="P121" s="16">
        <f t="shared" si="18"/>
        <v>0.94581280788177335</v>
      </c>
      <c r="Q121" s="15" t="str">
        <f t="shared" si="19"/>
        <v>P1 Attention</v>
      </c>
      <c r="R121" s="15">
        <v>35</v>
      </c>
      <c r="S121" s="16">
        <f t="shared" si="20"/>
        <v>3.6458333333333336E-2</v>
      </c>
      <c r="T121" s="15" t="str">
        <f t="shared" si="21"/>
        <v>P2 Observe</v>
      </c>
      <c r="U121" s="15">
        <v>20</v>
      </c>
      <c r="V121" s="16">
        <f t="shared" si="22"/>
        <v>0.5714285714285714</v>
      </c>
      <c r="W121" s="15"/>
      <c r="X121" s="16">
        <f t="shared" si="23"/>
        <v>1.9704433497536946E-2</v>
      </c>
      <c r="Y121" s="15" t="str">
        <f t="shared" si="24"/>
        <v>P1 Attention</v>
      </c>
      <c r="Z121" s="13">
        <v>29</v>
      </c>
      <c r="AA121" s="17">
        <f t="shared" si="25"/>
        <v>0</v>
      </c>
    </row>
    <row r="122" spans="1:27" ht="16.5" x14ac:dyDescent="0.55000000000000004">
      <c r="A122" s="12" t="s">
        <v>69</v>
      </c>
      <c r="B122" s="13">
        <f>COUNTIFS($A$2:A122,A122)</f>
        <v>1</v>
      </c>
      <c r="C122" s="13">
        <f t="shared" si="13"/>
        <v>0.25</v>
      </c>
      <c r="D122" s="14">
        <v>46112</v>
      </c>
      <c r="E122" s="14" t="str">
        <f t="shared" si="14"/>
        <v>Tue</v>
      </c>
      <c r="F122" s="14" t="s">
        <v>36</v>
      </c>
      <c r="G122" s="14" t="str">
        <f t="shared" si="15"/>
        <v>Week 4</v>
      </c>
      <c r="H122" s="14" t="str">
        <f t="shared" si="16"/>
        <v>Weekday</v>
      </c>
      <c r="I122" s="14" t="str">
        <f t="shared" si="17"/>
        <v>Mar</v>
      </c>
      <c r="J122" s="15" t="s">
        <v>38</v>
      </c>
      <c r="K122" s="15" t="s">
        <v>39</v>
      </c>
      <c r="L122" s="15" t="s">
        <v>31</v>
      </c>
      <c r="M122" s="13">
        <v>1</v>
      </c>
      <c r="N122" s="15">
        <v>940</v>
      </c>
      <c r="O122" s="15">
        <v>900</v>
      </c>
      <c r="P122" s="16">
        <f t="shared" si="18"/>
        <v>0.95744680851063835</v>
      </c>
      <c r="Q122" s="15" t="str">
        <f t="shared" si="19"/>
        <v>P2 Observe</v>
      </c>
      <c r="R122" s="15">
        <v>25</v>
      </c>
      <c r="S122" s="16">
        <f t="shared" si="20"/>
        <v>2.7777777777777776E-2</v>
      </c>
      <c r="T122" s="15" t="str">
        <f t="shared" si="21"/>
        <v>P0 Critical</v>
      </c>
      <c r="U122" s="15">
        <v>15</v>
      </c>
      <c r="V122" s="16">
        <f t="shared" si="22"/>
        <v>0.6</v>
      </c>
      <c r="W122" s="15"/>
      <c r="X122" s="16">
        <f t="shared" si="23"/>
        <v>1.5957446808510637E-2</v>
      </c>
      <c r="Y122" s="15" t="str">
        <f t="shared" si="24"/>
        <v>P0 Critical</v>
      </c>
      <c r="Z122" s="13">
        <v>17</v>
      </c>
      <c r="AA122" s="17">
        <f t="shared" si="25"/>
        <v>0</v>
      </c>
    </row>
    <row r="123" spans="1:27" ht="16.5" x14ac:dyDescent="0.55000000000000004">
      <c r="A123" s="12" t="s">
        <v>69</v>
      </c>
      <c r="B123" s="13">
        <f>COUNTIFS($A$2:A123,A123)</f>
        <v>2</v>
      </c>
      <c r="C123" s="13">
        <f t="shared" si="13"/>
        <v>0.25</v>
      </c>
      <c r="D123" s="14">
        <v>46112</v>
      </c>
      <c r="E123" s="14" t="str">
        <f t="shared" si="14"/>
        <v>Tue</v>
      </c>
      <c r="F123" s="14" t="s">
        <v>36</v>
      </c>
      <c r="G123" s="14" t="str">
        <f t="shared" si="15"/>
        <v>Week 4</v>
      </c>
      <c r="H123" s="14" t="str">
        <f t="shared" si="16"/>
        <v>Weekday</v>
      </c>
      <c r="I123" s="14" t="str">
        <f t="shared" si="17"/>
        <v>Mar</v>
      </c>
      <c r="J123" s="15" t="s">
        <v>38</v>
      </c>
      <c r="K123" s="15" t="s">
        <v>39</v>
      </c>
      <c r="L123" s="15" t="s">
        <v>32</v>
      </c>
      <c r="M123" s="13">
        <v>2</v>
      </c>
      <c r="N123" s="15">
        <v>905</v>
      </c>
      <c r="O123" s="15">
        <v>855</v>
      </c>
      <c r="P123" s="16">
        <f t="shared" si="18"/>
        <v>0.94475138121546964</v>
      </c>
      <c r="Q123" s="15" t="str">
        <f t="shared" si="19"/>
        <v>P0 Critical</v>
      </c>
      <c r="R123" s="15">
        <v>35</v>
      </c>
      <c r="S123" s="16">
        <f t="shared" si="20"/>
        <v>4.0935672514619881E-2</v>
      </c>
      <c r="T123" s="15" t="str">
        <f t="shared" si="21"/>
        <v>P2 Observe</v>
      </c>
      <c r="U123" s="15">
        <v>15</v>
      </c>
      <c r="V123" s="16">
        <f t="shared" si="22"/>
        <v>0.42857142857142855</v>
      </c>
      <c r="W123" s="15"/>
      <c r="X123" s="16">
        <f t="shared" si="23"/>
        <v>1.6574585635359115E-2</v>
      </c>
      <c r="Y123" s="15" t="str">
        <f t="shared" si="24"/>
        <v>P0 Critical</v>
      </c>
      <c r="Z123" s="13">
        <v>29</v>
      </c>
      <c r="AA123" s="17">
        <f t="shared" si="25"/>
        <v>0</v>
      </c>
    </row>
    <row r="124" spans="1:27" ht="16.5" x14ac:dyDescent="0.55000000000000004">
      <c r="A124" s="12" t="s">
        <v>69</v>
      </c>
      <c r="B124" s="13">
        <f>COUNTIFS($A$2:A124,A124)</f>
        <v>3</v>
      </c>
      <c r="C124" s="13">
        <f t="shared" si="13"/>
        <v>0.25</v>
      </c>
      <c r="D124" s="14">
        <v>46112</v>
      </c>
      <c r="E124" s="14" t="str">
        <f t="shared" si="14"/>
        <v>Tue</v>
      </c>
      <c r="F124" s="14" t="s">
        <v>36</v>
      </c>
      <c r="G124" s="14" t="str">
        <f t="shared" si="15"/>
        <v>Week 4</v>
      </c>
      <c r="H124" s="14" t="str">
        <f t="shared" si="16"/>
        <v>Weekday</v>
      </c>
      <c r="I124" s="14" t="str">
        <f t="shared" si="17"/>
        <v>Mar</v>
      </c>
      <c r="J124" s="15" t="s">
        <v>38</v>
      </c>
      <c r="K124" s="15" t="s">
        <v>39</v>
      </c>
      <c r="L124" s="15" t="s">
        <v>33</v>
      </c>
      <c r="M124" s="13">
        <v>3</v>
      </c>
      <c r="N124" s="15">
        <v>925</v>
      </c>
      <c r="O124" s="15">
        <v>875</v>
      </c>
      <c r="P124" s="16">
        <f t="shared" si="18"/>
        <v>0.94594594594594594</v>
      </c>
      <c r="Q124" s="15" t="str">
        <f t="shared" si="19"/>
        <v>P1 Attention</v>
      </c>
      <c r="R124" s="15">
        <v>30</v>
      </c>
      <c r="S124" s="16">
        <f t="shared" si="20"/>
        <v>3.4285714285714287E-2</v>
      </c>
      <c r="T124" s="15" t="str">
        <f t="shared" si="21"/>
        <v>P1 Attention</v>
      </c>
      <c r="U124" s="15">
        <v>20</v>
      </c>
      <c r="V124" s="16">
        <f t="shared" si="22"/>
        <v>0.66666666666666663</v>
      </c>
      <c r="W124" s="15"/>
      <c r="X124" s="16">
        <f t="shared" si="23"/>
        <v>2.1621621621621623E-2</v>
      </c>
      <c r="Y124" s="15" t="str">
        <f t="shared" si="24"/>
        <v>P2 Observe</v>
      </c>
      <c r="Z124" s="13">
        <v>25</v>
      </c>
      <c r="AA124" s="17">
        <f t="shared" si="25"/>
        <v>0</v>
      </c>
    </row>
    <row r="125" spans="1:27" ht="16.5" x14ac:dyDescent="0.55000000000000004">
      <c r="A125" s="12" t="s">
        <v>69</v>
      </c>
      <c r="B125" s="13">
        <f>COUNTIFS($A$2:A125,A125)</f>
        <v>4</v>
      </c>
      <c r="C125" s="13">
        <f t="shared" si="13"/>
        <v>0.25</v>
      </c>
      <c r="D125" s="14">
        <v>46112</v>
      </c>
      <c r="E125" s="14" t="str">
        <f t="shared" si="14"/>
        <v>Tue</v>
      </c>
      <c r="F125" s="14" t="s">
        <v>36</v>
      </c>
      <c r="G125" s="14" t="str">
        <f t="shared" si="15"/>
        <v>Week 4</v>
      </c>
      <c r="H125" s="14" t="str">
        <f t="shared" si="16"/>
        <v>Weekday</v>
      </c>
      <c r="I125" s="14" t="str">
        <f t="shared" si="17"/>
        <v>Mar</v>
      </c>
      <c r="J125" s="15" t="s">
        <v>38</v>
      </c>
      <c r="K125" s="15" t="s">
        <v>39</v>
      </c>
      <c r="L125" s="15" t="s">
        <v>34</v>
      </c>
      <c r="M125" s="13">
        <v>4</v>
      </c>
      <c r="N125" s="15">
        <v>890</v>
      </c>
      <c r="O125" s="15">
        <v>840</v>
      </c>
      <c r="P125" s="16">
        <f t="shared" si="18"/>
        <v>0.9438202247191011</v>
      </c>
      <c r="Q125" s="15" t="str">
        <f t="shared" si="19"/>
        <v>P0 Critical</v>
      </c>
      <c r="R125" s="15">
        <v>30</v>
      </c>
      <c r="S125" s="16">
        <f t="shared" si="20"/>
        <v>3.5714285714285712E-2</v>
      </c>
      <c r="T125" s="15" t="str">
        <f t="shared" si="21"/>
        <v>P2 Observe</v>
      </c>
      <c r="U125" s="15">
        <v>20</v>
      </c>
      <c r="V125" s="16">
        <f t="shared" si="22"/>
        <v>0.66666666666666663</v>
      </c>
      <c r="W125" s="15"/>
      <c r="X125" s="16">
        <f t="shared" si="23"/>
        <v>2.247191011235955E-2</v>
      </c>
      <c r="Y125" s="15" t="str">
        <f t="shared" si="24"/>
        <v>P2 Observe</v>
      </c>
      <c r="Z125" s="13">
        <v>23</v>
      </c>
      <c r="AA125" s="17">
        <f t="shared" si="25"/>
        <v>0</v>
      </c>
    </row>
    <row r="126" spans="1:27" ht="16.5" x14ac:dyDescent="0.55000000000000004">
      <c r="A126" s="12" t="s">
        <v>70</v>
      </c>
      <c r="B126" s="13">
        <f>COUNTIFS($A$2:A126,A126)</f>
        <v>1</v>
      </c>
      <c r="C126" s="13">
        <f t="shared" si="13"/>
        <v>0.5</v>
      </c>
      <c r="D126" s="14">
        <v>46113</v>
      </c>
      <c r="E126" s="14" t="str">
        <f t="shared" si="14"/>
        <v>Wed</v>
      </c>
      <c r="F126" s="14" t="s">
        <v>28</v>
      </c>
      <c r="G126" s="14" t="str">
        <f t="shared" si="15"/>
        <v>Week 1</v>
      </c>
      <c r="H126" s="14" t="str">
        <f t="shared" si="16"/>
        <v>Weekday</v>
      </c>
      <c r="I126" s="14" t="str">
        <f t="shared" si="17"/>
        <v>Apr</v>
      </c>
      <c r="J126" s="15" t="s">
        <v>42</v>
      </c>
      <c r="K126" s="15" t="s">
        <v>43</v>
      </c>
      <c r="L126" s="15" t="s">
        <v>31</v>
      </c>
      <c r="M126" s="13">
        <v>1</v>
      </c>
      <c r="N126" s="15">
        <v>995</v>
      </c>
      <c r="O126" s="15">
        <v>950</v>
      </c>
      <c r="P126" s="16">
        <f t="shared" si="18"/>
        <v>0.95477386934673369</v>
      </c>
      <c r="Q126" s="15" t="str">
        <f t="shared" si="19"/>
        <v>P2 Observe</v>
      </c>
      <c r="R126" s="15">
        <v>30</v>
      </c>
      <c r="S126" s="16">
        <f t="shared" si="20"/>
        <v>3.1578947368421054E-2</v>
      </c>
      <c r="T126" s="15" t="str">
        <f t="shared" si="21"/>
        <v>P1 Attention</v>
      </c>
      <c r="U126" s="15">
        <v>15</v>
      </c>
      <c r="V126" s="16">
        <f t="shared" si="22"/>
        <v>0.5</v>
      </c>
      <c r="W126" s="15"/>
      <c r="X126" s="16">
        <f t="shared" si="23"/>
        <v>1.507537688442211E-2</v>
      </c>
      <c r="Y126" s="15" t="str">
        <f t="shared" si="24"/>
        <v>P0 Critical</v>
      </c>
      <c r="Z126" s="13">
        <v>22</v>
      </c>
      <c r="AA126" s="17">
        <f t="shared" si="25"/>
        <v>0</v>
      </c>
    </row>
    <row r="127" spans="1:27" ht="16.5" x14ac:dyDescent="0.55000000000000004">
      <c r="A127" s="18" t="s">
        <v>70</v>
      </c>
      <c r="B127" s="19">
        <f>COUNTIFS($A$2:A127,A127)</f>
        <v>2</v>
      </c>
      <c r="C127" s="19">
        <f t="shared" si="13"/>
        <v>0.5</v>
      </c>
      <c r="D127" s="20">
        <v>46113</v>
      </c>
      <c r="E127" s="20" t="str">
        <f t="shared" si="14"/>
        <v>Wed</v>
      </c>
      <c r="F127" s="20" t="s">
        <v>28</v>
      </c>
      <c r="G127" s="20" t="str">
        <f t="shared" si="15"/>
        <v>Week 1</v>
      </c>
      <c r="H127" s="20" t="str">
        <f t="shared" si="16"/>
        <v>Weekday</v>
      </c>
      <c r="I127" s="20" t="str">
        <f t="shared" si="17"/>
        <v>Apr</v>
      </c>
      <c r="J127" s="21" t="s">
        <v>42</v>
      </c>
      <c r="K127" s="21" t="s">
        <v>43</v>
      </c>
      <c r="L127" s="21" t="s">
        <v>33</v>
      </c>
      <c r="M127" s="19">
        <v>3</v>
      </c>
      <c r="N127" s="21">
        <v>980</v>
      </c>
      <c r="O127" s="21">
        <v>925</v>
      </c>
      <c r="P127" s="22">
        <f t="shared" si="18"/>
        <v>0.94387755102040816</v>
      </c>
      <c r="Q127" s="21" t="str">
        <f t="shared" si="19"/>
        <v>P0 Critical</v>
      </c>
      <c r="R127" s="21">
        <v>35</v>
      </c>
      <c r="S127" s="22">
        <f t="shared" si="20"/>
        <v>3.783783783783784E-2</v>
      </c>
      <c r="T127" s="21" t="str">
        <f t="shared" si="21"/>
        <v>P2 Observe</v>
      </c>
      <c r="U127" s="21">
        <v>20</v>
      </c>
      <c r="V127" s="22">
        <f t="shared" si="22"/>
        <v>0.5714285714285714</v>
      </c>
      <c r="W127" s="21"/>
      <c r="X127" s="22">
        <f t="shared" si="23"/>
        <v>2.0408163265306121E-2</v>
      </c>
      <c r="Y127" s="21" t="str">
        <f t="shared" si="24"/>
        <v>P2 Observe</v>
      </c>
      <c r="Z127" s="19">
        <v>30</v>
      </c>
      <c r="AA127" s="23">
        <f t="shared" si="25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Dishank Shekokare</dc:creator>
  <cp:lastModifiedBy>Dishank Shekokare</cp:lastModifiedBy>
  <dcterms:created xsi:type="dcterms:W3CDTF">2026-04-03T07:16:07Z</dcterms:created>
  <dcterms:modified xsi:type="dcterms:W3CDTF">2026-04-03T07:16:27Z</dcterms:modified>
</cp:coreProperties>
</file>